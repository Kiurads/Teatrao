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5A76E589-873C-484E-A40E-23FA1D253CAD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10245" yWindow="0" windowWidth="10245" windowHeight="1107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<sst xmlns="http://schemas.openxmlformats.org/spreadsheetml/2006/main" count="86" uniqueCount="73">
  <si>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</si>
  <si>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</si>
  <si>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</si>
  <si>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</si>
  <si>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</si>
  <si>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</si>
  <si>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</si>
  <si>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</si>
  <si>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</si>
  <si>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</si>
  <si>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</si>
  <si>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</si>
  <si>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</si>
  <si>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</si>
  <si>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</si>
  <si>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</si>
  <si>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</si>
  <si>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</si>
  <si>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</si>
  <si>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</si>
  <si>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</si>
  <si>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</si>
  <si>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</si>
  <si>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</si>
  <si>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</si>
  <si>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</si>
  <si>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</si>
  <si>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</si>
  <si>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</si>
  <si>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</si>
  <si>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</si>
  <si>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</si>
  <si>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</si>
  <si>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</si>
  <si>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</si>
  <si>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</si>
  <si>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</si>
  <si>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</si>
  <si>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</si>
  <si>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</si>
  <si>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</si>
  <si>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</si>
  <si>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</si>
  <si>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</si>
  <si>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</si>
  <si>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</si>
  <si>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</si>
  <si>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</si>
  <si>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</si>
  <si>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</si>
  <si>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</si>
  <si>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</si>
  <si>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</si>
  <si>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</si>
  <si>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</si>
  <si>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</si>
  <si>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</si>
  <si>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</si>
  <si>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</si>
  <si>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</si>
  <si>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</si>
  <si>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</si>
  <si>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</si>
  <si>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</si>
  <si>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</si>
  <si>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</si>
  <si>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</si>
  <si>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</si>
  <si>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</si>
  <si>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</si>
  <si>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</si>
  <si>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</si>
  <si>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Mistérios Gozosos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</si>
</sst>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Continuous"/>
      <protection locked="0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topLeftCell="A44" zoomScale="80" zoomScaleSheetLayoutView="100" workbookViewId="0">
      <selection activeCell="F58" sqref="F58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9" t="s">
        <v>0</v>
      </c>
      <c r="D1" s="99"/>
      <c r="E1" s="100"/>
      <c r="F1" s="6">
        <v>143</v>
      </c>
    </row>
    <row r="2" spans="3:13" ht="6.75" customHeight="1">
      <c r="E2" s="7"/>
    </row>
    <row r="3" spans="3:13" ht="15.75" customHeight="1">
      <c r="C3" s="99" t="s">
        <v>1</v>
      </c>
      <c r="D3" s="99"/>
      <c r="E3" s="99"/>
      <c r="F3" s="8" t="s">
        <v>72</v>
      </c>
      <c r="G3" s="9"/>
      <c r="H3" s="9"/>
      <c r="I3" s="9"/>
      <c r="J3" s="9"/>
      <c r="K3" s="81"/>
      <c r="L3" s="81"/>
      <c r="M3" s="20"/>
    </row>
    <row r="4" spans="3:13" ht="6" customHeight="1">
      <c r="E4" s="7"/>
      <c r="F4" s="10"/>
    </row>
    <row r="5" spans="3:13" ht="16.5" customHeight="1">
      <c r="C5" s="99" t="s">
        <v>2</v>
      </c>
      <c r="D5" s="99"/>
      <c r="E5" s="100"/>
      <c r="F5" s="11">
        <v>45594</v>
      </c>
      <c r="G5" s="12"/>
      <c r="H5" s="13"/>
    </row>
    <row r="6" spans="3:13" ht="6" customHeight="1">
      <c r="E6" s="7"/>
      <c r="F6" s="14"/>
      <c r="H6" s="13"/>
    </row>
    <row r="7" spans="3:13">
      <c r="C7" s="99" t="s">
        <v>3</v>
      </c>
      <c r="D7" s="99"/>
      <c r="E7" s="100"/>
      <c r="F7" s="15">
        <v>0.89583333333333337</v>
      </c>
      <c r="G7" s="16"/>
    </row>
    <row r="8" spans="3:13" ht="6" customHeight="1">
      <c r="E8" s="7"/>
      <c r="F8" s="17"/>
    </row>
    <row r="9" spans="3:13">
      <c r="C9" s="99" t="s">
        <v>4</v>
      </c>
      <c r="D9" s="99"/>
      <c r="E9" s="99"/>
      <c r="F9" s="18" t="s">
        <v>57</v>
      </c>
      <c r="G9" s="19"/>
      <c r="H9" s="20"/>
      <c r="I9" s="98"/>
      <c r="J9" s="98"/>
    </row>
    <row r="10" spans="3:13" ht="6" customHeight="1">
      <c r="E10" s="7"/>
    </row>
    <row r="11" spans="3:13" ht="15.75" customHeight="1">
      <c r="C11" s="99" t="s">
        <v>5</v>
      </c>
      <c r="D11" s="99"/>
      <c r="E11" s="99"/>
      <c r="F11" s="18" t="s">
        <v>41</v>
      </c>
      <c r="G11" s="21"/>
    </row>
    <row r="12" spans="3:13" ht="6" customHeight="1">
      <c r="E12" s="7"/>
    </row>
    <row r="13" spans="3:13" ht="15.75" customHeight="1">
      <c r="C13" s="99" t="s">
        <v>6</v>
      </c>
      <c r="D13" s="99"/>
      <c r="E13" s="99"/>
      <c r="F13" s="18" t="s">
        <v>42</v>
      </c>
      <c r="G13" s="19"/>
      <c r="H13" s="19"/>
      <c r="I13" s="21"/>
    </row>
    <row r="14" spans="3:13" ht="6" customHeight="1">
      <c r="E14" s="13"/>
      <c r="F14" s="13"/>
    </row>
    <row r="15" spans="3:13" ht="15.75" customHeight="1">
      <c r="C15" s="99" t="s">
        <v>7</v>
      </c>
      <c r="D15" s="99"/>
      <c r="E15" s="100"/>
      <c r="F15" s="22" t="s">
        <v>43</v>
      </c>
      <c r="G15" s="23"/>
      <c r="H15" s="23"/>
      <c r="I15" s="73"/>
    </row>
    <row r="16" spans="3:13" ht="6" customHeight="1">
      <c r="E16" s="13"/>
      <c r="F16" s="13"/>
    </row>
    <row r="17" spans="2:12" ht="15.75" customHeight="1">
      <c r="C17" s="99" t="s">
        <v>71</v>
      </c>
      <c r="D17" s="99"/>
      <c r="E17" s="100"/>
      <c r="F17" s="95">
        <v>106</v>
      </c>
      <c r="G17" s="96"/>
      <c r="H17" s="13"/>
    </row>
    <row r="18" spans="2:12" ht="15.75" customHeight="1">
      <c r="E18" s="7"/>
      <c r="I18" s="74"/>
      <c r="J18" s="74"/>
    </row>
    <row r="19" spans="2:12" ht="15.75" customHeight="1">
      <c r="B19" s="24"/>
      <c r="C19" s="24"/>
      <c r="D19" s="24"/>
      <c r="E19" s="25" t="s">
        <v>8</v>
      </c>
      <c r="F19" s="24"/>
      <c r="G19" s="24"/>
      <c r="H19" s="24"/>
      <c r="I19" s="75"/>
      <c r="J19" s="24"/>
      <c r="K19" s="24"/>
    </row>
    <row r="20" spans="2:12" ht="15.75" customHeight="1">
      <c r="B20" s="13"/>
      <c r="C20" s="13"/>
    </row>
    <row r="21" spans="2:12" ht="19.5" customHeight="1">
      <c r="B21" s="13"/>
      <c r="C21" s="13"/>
      <c r="D21" s="111" t="s">
        <v>9</v>
      </c>
      <c r="E21" s="112"/>
      <c r="F21" s="101" t="s">
        <v>10</v>
      </c>
      <c r="G21" s="102"/>
      <c r="H21" s="102"/>
      <c r="I21" s="102"/>
      <c r="J21" s="102"/>
      <c r="K21" s="103"/>
    </row>
    <row r="22" spans="2:12" ht="15.75" customHeight="1">
      <c r="B22" s="13"/>
      <c r="C22" s="13"/>
      <c r="D22" s="113"/>
      <c r="E22" s="114"/>
      <c r="F22" s="101" t="s">
        <v>11</v>
      </c>
      <c r="G22" s="103"/>
      <c r="H22" s="101" t="s">
        <v>12</v>
      </c>
      <c r="I22" s="103"/>
      <c r="J22" s="101" t="s">
        <v>13</v>
      </c>
      <c r="K22" s="103"/>
      <c r="L22" s="76"/>
    </row>
    <row r="23" spans="2:12" s="4" customFormat="1" ht="16.5" thickBot="1">
      <c r="B23" s="28" t="s">
        <v>14</v>
      </c>
      <c r="C23" s="26" t="s">
        <v>15</v>
      </c>
      <c r="D23" s="29" t="s">
        <v>16</v>
      </c>
      <c r="E23" s="29" t="s">
        <v>17</v>
      </c>
      <c r="F23" s="27" t="s">
        <v>16</v>
      </c>
      <c r="G23" s="28" t="s">
        <v>17</v>
      </c>
      <c r="H23" s="28" t="s">
        <v>16</v>
      </c>
      <c r="I23" s="28" t="s">
        <v>17</v>
      </c>
      <c r="J23" s="28" t="s">
        <v>16</v>
      </c>
      <c r="K23" s="28" t="s">
        <v>17</v>
      </c>
      <c r="L23" s="77"/>
    </row>
    <row r="24" spans="2:12" s="4" customFormat="1">
      <c r="B24" s="30" t="s">
        <v>18</v>
      </c>
      <c r="C24" s="31">
        <v>10</v>
      </c>
      <c r="D24" s="32">
        <f>SUM(F24,H24,J24)</f>
        <v>0</v>
      </c>
      <c r="E24" s="33">
        <f t="shared" ref="E24:E49" si="0">G24+I24+K24</f>
        <v>0</v>
      </c>
      <c r="F24" s="34"/>
      <c r="G24" s="35">
        <f t="shared" ref="G24" si="1">F24*C24</f>
        <v>0</v>
      </c>
      <c r="H24" s="36"/>
      <c r="I24" s="35">
        <f t="shared" ref="I24" si="2">H24*C24</f>
        <v>0</v>
      </c>
      <c r="J24" s="82"/>
      <c r="K24" s="33">
        <f t="shared" ref="K24" si="3">J24*C24</f>
        <v>0</v>
      </c>
      <c r="L24" s="77"/>
    </row>
    <row r="25" spans="2:12" s="4" customFormat="1">
      <c r="B25" s="37" t="s">
        <v>19</v>
      </c>
      <c r="C25" s="38">
        <v>7</v>
      </c>
      <c r="D25" s="39">
        <f t="shared" ref="D25:D49" si="4">SUM(F25,H25,J25)</f>
        <v>0</v>
      </c>
      <c r="E25" s="40">
        <f t="shared" si="0"/>
        <v>0</v>
      </c>
      <c r="F25" s="41"/>
      <c r="G25" s="42">
        <f t="shared" ref="G25:G49" si="5">F25*C25</f>
        <v>0</v>
      </c>
      <c r="H25" s="43"/>
      <c r="I25" s="42">
        <f t="shared" ref="I25:I42" si="6">H25*C25</f>
        <v>0</v>
      </c>
      <c r="J25" s="83"/>
      <c r="K25" s="40">
        <f t="shared" ref="K25:K42" si="7">J25*C25</f>
        <v>0</v>
      </c>
      <c r="L25" s="77"/>
    </row>
    <row r="26" spans="2:12" s="4" customFormat="1">
      <c r="B26" s="44" t="s">
        <v>20</v>
      </c>
      <c r="C26" s="38">
        <v>6</v>
      </c>
      <c r="D26" s="39">
        <f t="shared" si="4"/>
        <v>0</v>
      </c>
      <c r="E26" s="40">
        <f t="shared" si="0"/>
        <v>0</v>
      </c>
      <c r="F26" s="41"/>
      <c r="G26" s="42">
        <f t="shared" si="5"/>
        <v>0</v>
      </c>
      <c r="H26" s="43"/>
      <c r="I26" s="42">
        <f t="shared" si="6"/>
        <v>0</v>
      </c>
      <c r="J26" s="83"/>
      <c r="K26" s="40">
        <f t="shared" si="7"/>
        <v>0</v>
      </c>
      <c r="L26" s="77"/>
    </row>
    <row r="27" spans="2:12" s="4" customFormat="1">
      <c r="B27" s="44" t="s">
        <v>21</v>
      </c>
      <c r="C27" s="45">
        <v>6</v>
      </c>
      <c r="D27" s="39">
        <f t="shared" si="4"/>
        <v>0</v>
      </c>
      <c r="E27" s="40">
        <f t="shared" si="0"/>
        <v>0</v>
      </c>
      <c r="F27" s="41"/>
      <c r="G27" s="42">
        <f t="shared" si="5"/>
        <v>0</v>
      </c>
      <c r="H27" s="43"/>
      <c r="I27" s="42">
        <f t="shared" si="6"/>
        <v>0</v>
      </c>
      <c r="J27" s="83"/>
      <c r="K27" s="40">
        <f t="shared" si="7"/>
        <v>0</v>
      </c>
      <c r="L27" s="77"/>
    </row>
    <row r="28" spans="2:12" s="4" customFormat="1">
      <c r="B28" s="46" t="s">
        <v>22</v>
      </c>
      <c r="C28" s="45">
        <v>6</v>
      </c>
      <c r="D28" s="39">
        <f t="shared" si="4"/>
        <v>0</v>
      </c>
      <c r="E28" s="40">
        <f t="shared" si="0"/>
        <v>0</v>
      </c>
      <c r="F28" s="41"/>
      <c r="G28" s="42">
        <f t="shared" si="5"/>
        <v>0</v>
      </c>
      <c r="H28" s="43"/>
      <c r="I28" s="42">
        <f t="shared" si="6"/>
        <v>0</v>
      </c>
      <c r="J28" s="83"/>
      <c r="K28" s="40">
        <f t="shared" si="7"/>
        <v>0</v>
      </c>
      <c r="L28" s="77"/>
    </row>
    <row r="29" spans="2:12" s="4" customFormat="1">
      <c r="B29" s="37" t="s">
        <v>23</v>
      </c>
      <c r="C29" s="38">
        <v>6</v>
      </c>
      <c r="D29" s="39">
        <f t="shared" si="4"/>
        <v>0</v>
      </c>
      <c r="E29" s="40">
        <f t="shared" si="0"/>
        <v>0</v>
      </c>
      <c r="F29" s="41"/>
      <c r="G29" s="42">
        <f t="shared" si="5"/>
        <v>0</v>
      </c>
      <c r="H29" s="43"/>
      <c r="I29" s="42">
        <f t="shared" si="6"/>
        <v>0</v>
      </c>
      <c r="J29" s="83"/>
      <c r="K29" s="40">
        <f t="shared" si="7"/>
        <v>0</v>
      </c>
    </row>
    <row r="30" spans="2:12" s="4" customFormat="1">
      <c r="B30" s="37" t="s">
        <v>24</v>
      </c>
      <c r="C30" s="38">
        <v>6</v>
      </c>
      <c r="D30" s="39">
        <f t="shared" si="4"/>
        <v>0</v>
      </c>
      <c r="E30" s="40">
        <f t="shared" si="0"/>
        <v>0</v>
      </c>
      <c r="F30" s="41"/>
      <c r="G30" s="42">
        <f t="shared" si="5"/>
        <v>0</v>
      </c>
      <c r="H30" s="43"/>
      <c r="I30" s="42">
        <f t="shared" si="6"/>
        <v>0</v>
      </c>
      <c r="J30" s="83"/>
      <c r="K30" s="40">
        <f t="shared" si="7"/>
        <v>0</v>
      </c>
    </row>
    <row r="31" spans="2:12" s="4" customFormat="1">
      <c r="B31" s="37" t="s">
        <v>25</v>
      </c>
      <c r="C31" s="38">
        <v>5</v>
      </c>
      <c r="D31" s="39">
        <f t="shared" si="4"/>
        <v>0</v>
      </c>
      <c r="E31" s="40">
        <f t="shared" si="0"/>
        <v>0</v>
      </c>
      <c r="F31" s="41"/>
      <c r="G31" s="42">
        <f t="shared" si="5"/>
        <v>0</v>
      </c>
      <c r="H31" s="43"/>
      <c r="I31" s="42">
        <f t="shared" si="6"/>
        <v>0</v>
      </c>
      <c r="J31" s="83"/>
      <c r="K31" s="40">
        <f t="shared" si="7"/>
        <v>0</v>
      </c>
    </row>
    <row r="32" spans="2:12" s="4" customFormat="1">
      <c r="B32" s="37" t="s">
        <v>26</v>
      </c>
      <c r="C32" s="38">
        <v>5</v>
      </c>
      <c r="D32" s="39">
        <f t="shared" si="4"/>
        <v>0</v>
      </c>
      <c r="E32" s="40">
        <f t="shared" si="0"/>
        <v>0</v>
      </c>
      <c r="F32" s="41"/>
      <c r="G32" s="42">
        <f t="shared" si="5"/>
        <v>0</v>
      </c>
      <c r="H32" s="43"/>
      <c r="I32" s="42">
        <f t="shared" si="6"/>
        <v>0</v>
      </c>
      <c r="J32" s="83"/>
      <c r="K32" s="40">
        <f t="shared" si="7"/>
        <v>0</v>
      </c>
    </row>
    <row r="33" spans="2:11" s="4" customFormat="1">
      <c r="B33" s="44" t="s">
        <v>27</v>
      </c>
      <c r="C33" s="45">
        <v>6</v>
      </c>
      <c r="D33" s="39">
        <f t="shared" si="4"/>
        <v>0</v>
      </c>
      <c r="E33" s="40">
        <f t="shared" si="0"/>
        <v>0</v>
      </c>
      <c r="F33" s="41"/>
      <c r="G33" s="42">
        <f t="shared" si="5"/>
        <v>0</v>
      </c>
      <c r="H33" s="43"/>
      <c r="I33" s="42">
        <f t="shared" si="6"/>
        <v>0</v>
      </c>
      <c r="J33" s="83"/>
      <c r="K33" s="40">
        <f t="shared" si="7"/>
        <v>0</v>
      </c>
    </row>
    <row r="34" spans="2:11" s="4" customFormat="1">
      <c r="B34" s="47" t="s">
        <v>28</v>
      </c>
      <c r="C34" s="48">
        <v>6</v>
      </c>
      <c r="D34" s="39">
        <f t="shared" si="4"/>
        <v>0</v>
      </c>
      <c r="E34" s="40">
        <f t="shared" si="0"/>
        <v>0</v>
      </c>
      <c r="F34" s="41"/>
      <c r="G34" s="42">
        <f t="shared" si="5"/>
        <v>0</v>
      </c>
      <c r="H34" s="43"/>
      <c r="I34" s="42">
        <f t="shared" si="6"/>
        <v>0</v>
      </c>
      <c r="J34" s="83"/>
      <c r="K34" s="40">
        <f t="shared" si="7"/>
        <v>0</v>
      </c>
    </row>
    <row r="35" spans="2:11" s="4" customFormat="1">
      <c r="B35" s="47" t="s">
        <v>29</v>
      </c>
      <c r="C35" s="48">
        <v>6</v>
      </c>
      <c r="D35" s="39">
        <f t="shared" si="4"/>
        <v>0</v>
      </c>
      <c r="E35" s="40">
        <f t="shared" si="0"/>
        <v>0</v>
      </c>
      <c r="F35" s="41"/>
      <c r="G35" s="42">
        <f t="shared" si="5"/>
        <v>0</v>
      </c>
      <c r="H35" s="43"/>
      <c r="I35" s="42">
        <f t="shared" si="6"/>
        <v>0</v>
      </c>
      <c r="J35" s="83"/>
      <c r="K35" s="40">
        <f t="shared" si="7"/>
        <v>0</v>
      </c>
    </row>
    <row r="36" spans="2:11" s="4" customFormat="1" ht="25.5">
      <c r="B36" s="50" t="s">
        <v>30</v>
      </c>
      <c r="C36" s="48">
        <v>4</v>
      </c>
      <c r="D36" s="39">
        <f t="shared" si="4"/>
        <v>0</v>
      </c>
      <c r="E36" s="40">
        <f t="shared" si="0"/>
        <v>0</v>
      </c>
      <c r="F36" s="41"/>
      <c r="G36" s="42">
        <f t="shared" si="5"/>
        <v>0</v>
      </c>
      <c r="H36" s="43"/>
      <c r="I36" s="42">
        <f t="shared" si="6"/>
        <v>0</v>
      </c>
      <c r="J36" s="83"/>
      <c r="K36" s="40">
        <f t="shared" si="7"/>
        <v>0</v>
      </c>
    </row>
    <row r="37" spans="2:11" s="4" customFormat="1">
      <c r="B37" s="50" t="s">
        <v>31</v>
      </c>
      <c r="C37" s="48">
        <v>5</v>
      </c>
      <c r="D37" s="39">
        <f t="shared" si="4"/>
        <v>0</v>
      </c>
      <c r="E37" s="51">
        <f t="shared" si="0"/>
        <v>0</v>
      </c>
      <c r="F37" s="52"/>
      <c r="G37" s="42">
        <f t="shared" si="5"/>
        <v>0</v>
      </c>
      <c r="H37" s="43"/>
      <c r="I37" s="42">
        <f t="shared" si="6"/>
        <v>0</v>
      </c>
      <c r="J37" s="83"/>
      <c r="K37" s="40">
        <f t="shared" si="7"/>
        <v>0</v>
      </c>
    </row>
    <row r="38" spans="2:11" s="4" customFormat="1">
      <c r="B38" s="47" t="s">
        <v>64</v>
      </c>
      <c r="C38" s="48">
        <v>5</v>
      </c>
      <c r="D38" s="39">
        <f t="shared" ref="D38" si="8">SUM(F38,H38,J38)</f>
        <v>0</v>
      </c>
      <c r="E38" s="51">
        <f t="shared" ref="E38" si="9">G38+I38+K38</f>
        <v>0</v>
      </c>
      <c r="F38" s="52"/>
      <c r="G38" s="42">
        <f>F38*C38</f>
        <v>0</v>
      </c>
      <c r="H38" s="43"/>
      <c r="I38" s="42">
        <f>H38*C38</f>
        <v>0</v>
      </c>
      <c r="J38" s="83"/>
      <c r="K38" s="40">
        <f>J38*C38</f>
        <v>0</v>
      </c>
    </row>
    <row r="39" spans="2:11" s="4" customFormat="1">
      <c r="B39" s="47" t="s">
        <v>32</v>
      </c>
      <c r="C39" s="48">
        <v>6</v>
      </c>
      <c r="D39" s="39">
        <f t="shared" si="4"/>
        <v>0</v>
      </c>
      <c r="E39" s="51">
        <f t="shared" si="0"/>
        <v>0</v>
      </c>
      <c r="F39" s="52"/>
      <c r="G39" s="42">
        <f t="shared" si="5"/>
        <v>0</v>
      </c>
      <c r="H39" s="43"/>
      <c r="I39" s="42">
        <f t="shared" si="6"/>
        <v>0</v>
      </c>
      <c r="J39" s="83"/>
      <c r="K39" s="40">
        <f t="shared" si="7"/>
        <v>0</v>
      </c>
    </row>
    <row r="40" spans="2:11" s="4" customFormat="1">
      <c r="B40" s="47" t="s">
        <v>33</v>
      </c>
      <c r="C40" s="48">
        <v>4</v>
      </c>
      <c r="D40" s="39">
        <f t="shared" si="4"/>
        <v>0</v>
      </c>
      <c r="E40" s="51">
        <f t="shared" si="0"/>
        <v>0</v>
      </c>
      <c r="F40" s="52"/>
      <c r="G40" s="42">
        <f t="shared" si="5"/>
        <v>0</v>
      </c>
      <c r="H40" s="43"/>
      <c r="I40" s="42">
        <f t="shared" si="6"/>
        <v>0</v>
      </c>
      <c r="J40" s="83"/>
      <c r="K40" s="40">
        <f t="shared" si="7"/>
        <v>0</v>
      </c>
    </row>
    <row r="41" spans="2:11" s="4" customFormat="1">
      <c r="B41" s="47" t="s">
        <v>65</v>
      </c>
      <c r="C41" s="48">
        <v>5</v>
      </c>
      <c r="D41" s="39">
        <f t="shared" ref="D41" si="10">SUM(F41,H41,J41)</f>
        <v>0</v>
      </c>
      <c r="E41" s="51">
        <f t="shared" ref="E41" si="11">G41+I41+K41</f>
        <v>0</v>
      </c>
      <c r="F41" s="52"/>
      <c r="G41" s="42">
        <f t="shared" si="5"/>
        <v>0</v>
      </c>
      <c r="H41" s="43"/>
      <c r="I41" s="42">
        <f t="shared" si="6"/>
        <v>0</v>
      </c>
      <c r="J41" s="83"/>
      <c r="K41" s="40">
        <f t="shared" si="7"/>
        <v>0</v>
      </c>
    </row>
    <row r="42" spans="2:11" s="4" customFormat="1">
      <c r="B42" s="47" t="s">
        <v>66</v>
      </c>
      <c r="C42" s="48">
        <v>3</v>
      </c>
      <c r="D42" s="39">
        <f t="shared" ref="D42" si="12">SUM(F42,H42,J42)</f>
        <v>0</v>
      </c>
      <c r="E42" s="51">
        <f t="shared" ref="E42" si="13">G42+I42+K42</f>
        <v>0</v>
      </c>
      <c r="F42" s="52"/>
      <c r="G42" s="49">
        <f t="shared" si="5"/>
        <v>0</v>
      </c>
      <c r="H42" s="43"/>
      <c r="I42" s="42">
        <f t="shared" si="6"/>
        <v>0</v>
      </c>
      <c r="J42" s="83"/>
      <c r="K42" s="40">
        <f t="shared" si="7"/>
        <v>0</v>
      </c>
    </row>
    <row r="43" spans="2:11" s="4" customFormat="1">
      <c r="B43" s="50" t="s">
        <v>67</v>
      </c>
      <c r="C43" s="48">
        <v>3</v>
      </c>
      <c r="D43" s="39">
        <f t="shared" ref="D43:D44" si="14">SUM(F43,H43,J43)</f>
        <v>0</v>
      </c>
      <c r="E43" s="51">
        <f t="shared" ref="E43:E44" si="15">G43+I43+K43</f>
        <v>0</v>
      </c>
      <c r="F43" s="52"/>
      <c r="G43" s="49">
        <f t="shared" ref="G43" si="16">F43*C43</f>
        <v>0</v>
      </c>
      <c r="H43" s="43"/>
      <c r="I43" s="42">
        <f t="shared" ref="I43" si="17">H43*C43</f>
        <v>0</v>
      </c>
      <c r="J43" s="83"/>
      <c r="K43" s="40">
        <f t="shared" ref="K43" si="18">J43*C43</f>
        <v>0</v>
      </c>
    </row>
    <row r="44" spans="2:11" s="4" customFormat="1">
      <c r="B44" s="50" t="s">
        <v>69</v>
      </c>
      <c r="C44" s="97"/>
      <c r="D44" s="39">
        <f t="shared" si="14"/>
        <v>0</v>
      </c>
      <c r="E44" s="51">
        <f t="shared" si="15"/>
        <v>0</v>
      </c>
      <c r="F44" s="52"/>
      <c r="G44" s="49">
        <f t="shared" ref="G44" si="19">F44*C44</f>
        <v>0</v>
      </c>
      <c r="H44" s="43"/>
      <c r="I44" s="42">
        <f t="shared" ref="I44" si="20">H44*C44</f>
        <v>0</v>
      </c>
      <c r="J44" s="83"/>
      <c r="K44" s="40">
        <f t="shared" ref="K44" si="21">J44*C44</f>
        <v>0</v>
      </c>
    </row>
    <row r="45" spans="2:11" s="4" customFormat="1">
      <c r="B45" s="50" t="s">
        <v>70</v>
      </c>
      <c r="C45" s="97"/>
      <c r="D45" s="39">
        <f t="shared" ref="D45" si="22">SUM(F45,H45,J45)</f>
        <v>0</v>
      </c>
      <c r="E45" s="51">
        <f t="shared" ref="E45" si="23">G45+I45+K45</f>
        <v>0</v>
      </c>
      <c r="F45" s="52"/>
      <c r="G45" s="49">
        <f t="shared" ref="G45" si="24">F45*C45</f>
        <v>0</v>
      </c>
      <c r="H45" s="43"/>
      <c r="I45" s="42">
        <f t="shared" ref="I45" si="25">H45*C45</f>
        <v>0</v>
      </c>
      <c r="J45" s="83"/>
      <c r="K45" s="40">
        <f t="shared" ref="K45" si="26">J45*C45</f>
        <v>0</v>
      </c>
    </row>
    <row r="46" spans="2:11" s="4" customFormat="1">
      <c r="B46" s="47" t="s">
        <v>61</v>
      </c>
      <c r="C46" s="48">
        <v>5</v>
      </c>
      <c r="D46" s="39">
        <f t="shared" ref="D46:D48" si="27">SUM(F46,H46,J46)</f>
        <v>0</v>
      </c>
      <c r="E46" s="51">
        <f t="shared" ref="E46:E48" si="28">G46+I46+K46</f>
        <v>0</v>
      </c>
      <c r="F46" s="52"/>
      <c r="G46" s="42">
        <f>F46*C46</f>
        <v>0</v>
      </c>
      <c r="H46" s="91"/>
      <c r="I46" s="89"/>
      <c r="J46" s="88"/>
      <c r="K46" s="90"/>
    </row>
    <row r="47" spans="2:11" s="4" customFormat="1">
      <c r="B47" s="47" t="s">
        <v>62</v>
      </c>
      <c r="C47" s="48">
        <v>8</v>
      </c>
      <c r="D47" s="39">
        <f t="shared" si="27"/>
        <v>0</v>
      </c>
      <c r="E47" s="51">
        <f t="shared" si="28"/>
        <v>0</v>
      </c>
      <c r="F47" s="52"/>
      <c r="G47" s="42">
        <f>F47*C47</f>
        <v>0</v>
      </c>
      <c r="H47" s="92"/>
      <c r="I47" s="86"/>
      <c r="J47" s="85"/>
      <c r="K47" s="87"/>
    </row>
    <row r="48" spans="2:11" s="4" customFormat="1">
      <c r="B48" s="47" t="s">
        <v>63</v>
      </c>
      <c r="C48" s="48">
        <v>4.5</v>
      </c>
      <c r="D48" s="39">
        <f t="shared" si="27"/>
        <v>0</v>
      </c>
      <c r="E48" s="51">
        <f t="shared" si="28"/>
        <v>0</v>
      </c>
      <c r="F48" s="52"/>
      <c r="G48" s="42">
        <f>F48*C48</f>
        <v>0</v>
      </c>
      <c r="H48" s="92"/>
      <c r="I48" s="86"/>
      <c r="J48" s="85"/>
      <c r="K48" s="87"/>
    </row>
    <row r="49" spans="2:11" s="4" customFormat="1" ht="16.5" thickBot="1">
      <c r="B49" s="53" t="s">
        <v>34</v>
      </c>
      <c r="C49" s="54">
        <v>0</v>
      </c>
      <c r="D49" s="55">
        <f t="shared" si="4"/>
        <v>55</v>
      </c>
      <c r="E49" s="56">
        <f t="shared" si="0"/>
        <v>0</v>
      </c>
      <c r="F49" s="57">
        <v>55</v>
      </c>
      <c r="G49" s="58">
        <f t="shared" si="5"/>
        <v>0</v>
      </c>
      <c r="H49" s="93"/>
      <c r="I49" s="78"/>
      <c r="J49" s="59"/>
      <c r="K49" s="84"/>
    </row>
    <row r="50" spans="2:11" s="4" customFormat="1" ht="8.25" customHeight="1" thickBot="1"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2:11" s="4" customFormat="1" ht="20.25" customHeight="1">
      <c r="B51" s="61" t="s">
        <v>9</v>
      </c>
      <c r="C51" s="62"/>
      <c r="D51" s="63">
        <f>SUM(D24:D49)</f>
        <v>55</v>
      </c>
      <c r="E51" s="64">
        <f>SUM(E24:E49)</f>
        <v>0</v>
      </c>
      <c r="F51" s="61">
        <f>SUM(F24:F49)</f>
        <v>55</v>
      </c>
      <c r="G51" s="65">
        <f>SUM(G24:G49)</f>
        <v>0</v>
      </c>
      <c r="H51" s="61">
        <f>SUM(H24:H45)</f>
        <v>0</v>
      </c>
      <c r="I51" s="79">
        <f>SUM(I24:I45)</f>
        <v>0</v>
      </c>
      <c r="J51" s="61">
        <f>SUM(J24:J45)</f>
        <v>0</v>
      </c>
      <c r="K51" s="65">
        <f>SUM(K24:K45)</f>
        <v>0</v>
      </c>
    </row>
    <row r="52" spans="2:11" s="4" customFormat="1" ht="8.25" customHeight="1">
      <c r="B52" s="66"/>
      <c r="C52" s="67"/>
      <c r="D52" s="67"/>
      <c r="E52" s="68"/>
      <c r="F52" s="69"/>
      <c r="G52" s="68"/>
      <c r="H52" s="69"/>
      <c r="I52" s="68"/>
      <c r="J52" s="69"/>
      <c r="K52" s="68"/>
    </row>
    <row r="53" spans="2:11" s="4" customFormat="1">
      <c r="B53" s="104" t="s">
        <v>35</v>
      </c>
      <c r="C53" s="105"/>
      <c r="D53" s="105"/>
      <c r="E53" s="105"/>
      <c r="F53" s="105"/>
      <c r="G53" s="106"/>
      <c r="H53" s="69"/>
      <c r="I53" s="107" t="s">
        <v>36</v>
      </c>
      <c r="J53" s="108"/>
      <c r="K53" s="80">
        <v>0.03</v>
      </c>
    </row>
    <row r="54" spans="2:11" ht="9.75" customHeight="1">
      <c r="B54" s="115"/>
      <c r="C54" s="115"/>
      <c r="D54" s="115"/>
      <c r="E54" s="115"/>
      <c r="F54" s="115"/>
      <c r="G54" s="115"/>
      <c r="H54" s="70"/>
      <c r="I54" s="13"/>
      <c r="J54" s="13"/>
      <c r="K54" s="13"/>
    </row>
    <row r="55" spans="2:11" ht="15.75" customHeight="1">
      <c r="B55" s="115"/>
      <c r="C55" s="115"/>
      <c r="D55" s="115"/>
      <c r="E55" s="115"/>
      <c r="F55" s="115"/>
      <c r="G55" s="115"/>
      <c r="H55" s="70"/>
      <c r="I55" s="116" t="s">
        <v>37</v>
      </c>
      <c r="J55" s="117"/>
      <c r="K55" s="109">
        <f>(K51+I51)*K53*1.23</f>
        <v>0</v>
      </c>
    </row>
    <row r="56" spans="2:11">
      <c r="B56" s="115"/>
      <c r="C56" s="115"/>
      <c r="D56" s="115"/>
      <c r="E56" s="115"/>
      <c r="F56" s="115"/>
      <c r="G56" s="115"/>
      <c r="H56" s="70"/>
      <c r="I56" s="118"/>
      <c r="J56" s="119"/>
      <c r="K56" s="110"/>
    </row>
    <row r="57" spans="2:11"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2:11" ht="15.75" customHeight="1">
      <c r="B58" s="72"/>
      <c r="C58" s="72"/>
      <c r="D58" s="72"/>
      <c r="E58" s="72"/>
      <c r="F58" s="72"/>
      <c r="G58" s="72"/>
      <c r="H58" s="71"/>
      <c r="I58" s="71"/>
      <c r="J58" s="71"/>
      <c r="K58" s="71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4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