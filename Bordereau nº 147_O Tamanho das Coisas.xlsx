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\\armazem\teatrao\2024\Bordereau\"/>
    </mc:Choice>
  </mc:AlternateContent>
  <xr:revisionPtr revIDLastSave="0" documentId="8_{3EEC4128-EF96-4EF4-93D5-61EAFFA64A5E}" xr6:coauthVersionLast="47" xr6:coauthVersionMax="47" xr10:uidLastSave="{00000000-0000-0000-0000-000000000000}"/>
  <workbookProtection workbookAlgorithmName="SHA-512" workbookHashValue="3pOhlqRLgvi3zuRziQKUvx8GsB/7FvT+VfsEdVzIirFuN7+o1kF1gGixwzaLpd+Z3TzTUKzX3kJAi5fv/EvWKA==" workbookSaltValue="wUyW8cXJrpuWGKdjHijJ5A==" workbookSpinCount="100000" lockStructure="1"/>
  <bookViews>
    <workbookView xWindow="-120" yWindow="-120" windowWidth="20730" windowHeight="11310" xr2:uid="{00000000-000D-0000-FFFF-FFFF00000000}"/>
  </bookViews>
  <sheets>
    <sheet name="Folha1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H51" i="1"/>
  <c r="F51" i="1"/>
  <c r="D45" i="1"/>
  <c r="G45" i="1"/>
  <c r="I45" i="1"/>
  <c r="K45" i="1"/>
  <c r="D44" i="1"/>
  <c r="G44" i="1"/>
  <c r="I44" i="1"/>
  <c r="K44" i="1"/>
  <c r="D43" i="1"/>
  <c r="G43" i="1"/>
  <c r="I43" i="1"/>
  <c r="K43" i="1"/>
  <c r="G46" i="1"/>
  <c r="G47" i="1"/>
  <c r="G48" i="1"/>
  <c r="G49" i="1"/>
  <c r="G25" i="1"/>
  <c r="I25" i="1"/>
  <c r="K25" i="1"/>
  <c r="G26" i="1"/>
  <c r="I26" i="1"/>
  <c r="K26" i="1"/>
  <c r="G27" i="1"/>
  <c r="I27" i="1"/>
  <c r="K27" i="1"/>
  <c r="G28" i="1"/>
  <c r="I28" i="1"/>
  <c r="K28" i="1"/>
  <c r="G29" i="1"/>
  <c r="I29" i="1"/>
  <c r="K29" i="1"/>
  <c r="G30" i="1"/>
  <c r="I30" i="1"/>
  <c r="K30" i="1"/>
  <c r="G31" i="1"/>
  <c r="I31" i="1"/>
  <c r="K31" i="1"/>
  <c r="G32" i="1"/>
  <c r="I32" i="1"/>
  <c r="K32" i="1"/>
  <c r="G33" i="1"/>
  <c r="I33" i="1"/>
  <c r="K33" i="1"/>
  <c r="G34" i="1"/>
  <c r="I34" i="1"/>
  <c r="K34" i="1"/>
  <c r="G35" i="1"/>
  <c r="I35" i="1"/>
  <c r="K35" i="1"/>
  <c r="G36" i="1"/>
  <c r="I36" i="1"/>
  <c r="K36" i="1"/>
  <c r="G37" i="1"/>
  <c r="I37" i="1"/>
  <c r="K37" i="1"/>
  <c r="G39" i="1"/>
  <c r="I39" i="1"/>
  <c r="K39" i="1"/>
  <c r="G40" i="1"/>
  <c r="I40" i="1"/>
  <c r="K40" i="1"/>
  <c r="G38" i="1"/>
  <c r="I38" i="1"/>
  <c r="K38" i="1"/>
  <c r="G41" i="1"/>
  <c r="I41" i="1"/>
  <c r="K41" i="1"/>
  <c r="G42" i="1"/>
  <c r="I42" i="1"/>
  <c r="K42" i="1"/>
  <c r="D42" i="1"/>
  <c r="D41" i="1"/>
  <c r="D38" i="1"/>
  <c r="E45" i="1" l="1"/>
  <c r="E44" i="1"/>
  <c r="E43" i="1"/>
  <c r="E42" i="1"/>
  <c r="E41" i="1"/>
  <c r="E38" i="1"/>
  <c r="D46" i="1" l="1"/>
  <c r="E46" i="1"/>
  <c r="D47" i="1"/>
  <c r="D48" i="1"/>
  <c r="D24" i="1"/>
  <c r="G24" i="1"/>
  <c r="G51" i="1" s="1"/>
  <c r="I24" i="1"/>
  <c r="I51" i="1" s="1"/>
  <c r="K24" i="1"/>
  <c r="K51" i="1" s="1"/>
  <c r="D25" i="1"/>
  <c r="D26" i="1"/>
  <c r="D27" i="1"/>
  <c r="D28" i="1"/>
  <c r="D29" i="1"/>
  <c r="D30" i="1"/>
  <c r="D31" i="1"/>
  <c r="E31" i="1"/>
  <c r="D32" i="1"/>
  <c r="E32" i="1"/>
  <c r="D33" i="1"/>
  <c r="D34" i="1"/>
  <c r="D35" i="1"/>
  <c r="D36" i="1"/>
  <c r="D37" i="1"/>
  <c r="D39" i="1"/>
  <c r="D40" i="1"/>
  <c r="D49" i="1"/>
  <c r="E49" i="1"/>
  <c r="D51" i="1" l="1"/>
  <c r="K55" i="1"/>
  <c r="E37" i="1"/>
  <c r="E39" i="1"/>
  <c r="E25" i="1"/>
  <c r="E48" i="1"/>
  <c r="E47" i="1"/>
  <c r="E40" i="1"/>
  <c r="E28" i="1"/>
  <c r="E26" i="1"/>
  <c r="E34" i="1"/>
  <c r="E30" i="1"/>
  <c r="E24" i="1"/>
  <c r="E36" i="1"/>
  <c r="E27" i="1"/>
  <c r="E33" i="1"/>
  <c r="E35" i="1"/>
  <c r="E29" i="1"/>
  <c r="E51" i="1" l="1"/>
</calcChain>
</file>

<file path=xl/sharedStrings.xml><?xml version="1.0" encoding="utf-8"?>
<sst xmlns="http://schemas.openxmlformats.org/spreadsheetml/2006/main" count="86" uniqueCount="73">
  <si>
    <t>Borderau n.º</t>
  </si>
  <si>
    <t>Espetáculo</t>
  </si>
  <si>
    <t>Data</t>
  </si>
  <si>
    <t>Hora</t>
  </si>
  <si>
    <t>Class. Etária</t>
  </si>
  <si>
    <t>Evento</t>
  </si>
  <si>
    <t>Atividade</t>
  </si>
  <si>
    <t>Local</t>
  </si>
  <si>
    <t>Bilhetes Vendidos</t>
  </si>
  <si>
    <t>Total</t>
  </si>
  <si>
    <t>Vendas</t>
  </si>
  <si>
    <t>Bilheteira</t>
  </si>
  <si>
    <t>Postos TL</t>
  </si>
  <si>
    <t>Internet</t>
  </si>
  <si>
    <t>Categorias</t>
  </si>
  <si>
    <t>Preço</t>
  </si>
  <si>
    <t>Qt.</t>
  </si>
  <si>
    <t>Valor</t>
  </si>
  <si>
    <t>Normal</t>
  </si>
  <si>
    <t>Entidades Protocoladas</t>
  </si>
  <si>
    <t>Estudantes</t>
  </si>
  <si>
    <t>Seniores &gt; 65</t>
  </si>
  <si>
    <t>Profissionais das Artes Espetáculo</t>
  </si>
  <si>
    <t>Pais Classes do Teatrão</t>
  </si>
  <si>
    <t>Desempregados</t>
  </si>
  <si>
    <t>Alunos São Teotónio</t>
  </si>
  <si>
    <t>Alunos Classe de Teatro</t>
  </si>
  <si>
    <t>Colaboradores IPC</t>
  </si>
  <si>
    <t>Comunidades Vale das Flores</t>
  </si>
  <si>
    <t>Grupos a partir 10 Pessoas</t>
  </si>
  <si>
    <t>Pessoas Portadoras de Deficiência e/ou S/surdas</t>
  </si>
  <si>
    <t>Colaboradores ISEC e ESEC; Alunos IPC</t>
  </si>
  <si>
    <t>MÚSICA_Preço único</t>
  </si>
  <si>
    <t>MÚSICA_Conservatória</t>
  </si>
  <si>
    <t>Convites</t>
  </si>
  <si>
    <t>OBSERVAÇÕES:</t>
  </si>
  <si>
    <t>Comissão Ticketline</t>
  </si>
  <si>
    <t>Preço Ticketline c/IVA</t>
  </si>
  <si>
    <t>Classificação Etária</t>
  </si>
  <si>
    <t>Actividade</t>
  </si>
  <si>
    <t>Todos os públicos</t>
  </si>
  <si>
    <t>Público</t>
  </si>
  <si>
    <t>Teatro</t>
  </si>
  <si>
    <t>Sala Grande/OMT</t>
  </si>
  <si>
    <t>M/3</t>
  </si>
  <si>
    <t>Não-Público</t>
  </si>
  <si>
    <t>Música</t>
  </si>
  <si>
    <t>Tabacaria/OMT</t>
  </si>
  <si>
    <t>M/6</t>
  </si>
  <si>
    <t>Dança</t>
  </si>
  <si>
    <t>Sala de Ensaios/OMT</t>
  </si>
  <si>
    <t>M/12</t>
  </si>
  <si>
    <t>Cruzamento Disciplinar</t>
  </si>
  <si>
    <t>Noutro Teatro</t>
  </si>
  <si>
    <t>M/16</t>
  </si>
  <si>
    <t>Conversa</t>
  </si>
  <si>
    <t>Espaço alternativo</t>
  </si>
  <si>
    <t>M/18</t>
  </si>
  <si>
    <t>Workshop/oficina</t>
  </si>
  <si>
    <t>Cinema</t>
  </si>
  <si>
    <t>M/14</t>
  </si>
  <si>
    <t>Escolas</t>
  </si>
  <si>
    <t>Escolas com transporte</t>
  </si>
  <si>
    <t>Escolas com Protocolo</t>
  </si>
  <si>
    <t>Projeto Pedagógico</t>
  </si>
  <si>
    <t>Res. Artística 9 Normal</t>
  </si>
  <si>
    <t>Res. Artística 9 Estudantes</t>
  </si>
  <si>
    <t>Res. Artística 9 Classes de Teatro</t>
  </si>
  <si>
    <t>Outro género</t>
  </si>
  <si>
    <t>Outras Situações Pré-Venda</t>
  </si>
  <si>
    <t>Outras Situações Venda</t>
  </si>
  <si>
    <t>Lotação Máxima</t>
  </si>
  <si>
    <t>O Tamanho das Coisas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</si>
</sst>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* #,##0.00_-;\-&quot;R$&quot;* #,##0.00_-;_-&quot;R$&quot;* &quot;-&quot;??_-;_-@_-"/>
    <numFmt numFmtId="165" formatCode="dd\-mm\-yyyy;@"/>
    <numFmt numFmtId="166" formatCode="[$-409]h:mm\ AM/PM;@"/>
    <numFmt numFmtId="167" formatCode="_-* #,##0.00\ &quot;€&quot;_-;\-* #,##0.00\ &quot;€&quot;_-;_-* &quot;-&quot;??\ &quot;€&quot;_-;_-@_-"/>
    <numFmt numFmtId="168" formatCode="#,##0.00\ &quot;€&quot;"/>
    <numFmt numFmtId="169" formatCode="#,##0\ &quot;€&quot;;[Red]\-#,##0\ &quot;€&quot;"/>
    <numFmt numFmtId="170" formatCode="#,##0.00\ &quot;€&quot;;[Red]\-#,##0.00\ &quot;€&quot;"/>
  </numFmts>
  <fonts count="11">
    <font>
      <sz val="11"/>
      <color theme="1"/>
      <name val="Aptos Narrow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9C4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4" fillId="0" borderId="7" xfId="0" applyFont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165" fontId="6" fillId="0" borderId="6" xfId="0" applyNumberFormat="1" applyFont="1" applyBorder="1" applyAlignment="1" applyProtection="1">
      <alignment horizontal="centerContinuous"/>
      <protection locked="0"/>
    </xf>
    <xf numFmtId="165" fontId="6" fillId="0" borderId="8" xfId="0" applyNumberFormat="1" applyFont="1" applyBorder="1" applyAlignment="1" applyProtection="1">
      <alignment horizontal="centerContinuous"/>
      <protection locked="0"/>
    </xf>
    <xf numFmtId="0" fontId="6" fillId="0" borderId="0" xfId="0" applyFont="1"/>
    <xf numFmtId="165" fontId="6" fillId="0" borderId="0" xfId="0" applyNumberFormat="1" applyFont="1"/>
    <xf numFmtId="166" fontId="6" fillId="0" borderId="6" xfId="0" applyNumberFormat="1" applyFont="1" applyBorder="1" applyAlignment="1" applyProtection="1">
      <alignment horizontal="centerContinuous"/>
      <protection locked="0"/>
    </xf>
    <xf numFmtId="166" fontId="6" fillId="0" borderId="8" xfId="0" applyNumberFormat="1" applyFont="1" applyBorder="1" applyAlignment="1" applyProtection="1">
      <alignment horizontal="centerContinuous"/>
      <protection locked="0"/>
    </xf>
    <xf numFmtId="166" fontId="6" fillId="0" borderId="0" xfId="0" applyNumberFormat="1" applyFont="1"/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/>
    </xf>
    <xf numFmtId="0" fontId="4" fillId="0" borderId="8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 readingOrder="2"/>
    </xf>
    <xf numFmtId="0" fontId="4" fillId="0" borderId="7" xfId="0" applyFont="1" applyBorder="1" applyAlignment="1">
      <alignment horizontal="centerContinuous" vertical="center" readingOrder="2"/>
    </xf>
    <xf numFmtId="0" fontId="4" fillId="3" borderId="0" xfId="0" applyFont="1" applyFill="1"/>
    <xf numFmtId="0" fontId="5" fillId="3" borderId="0" xfId="0" applyFont="1" applyFill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167" fontId="6" fillId="3" borderId="18" xfId="0" applyNumberFormat="1" applyFont="1" applyFill="1" applyBorder="1" applyAlignment="1">
      <alignment vertical="center"/>
    </xf>
    <xf numFmtId="0" fontId="6" fillId="3" borderId="19" xfId="0" applyFont="1" applyFill="1" applyBorder="1" applyAlignment="1">
      <alignment horizontal="right" vertical="center"/>
    </xf>
    <xf numFmtId="168" fontId="6" fillId="3" borderId="20" xfId="0" applyNumberFormat="1" applyFont="1" applyFill="1" applyBorder="1" applyAlignment="1">
      <alignment horizontal="right" vertical="center"/>
    </xf>
    <xf numFmtId="0" fontId="6" fillId="4" borderId="21" xfId="0" applyFont="1" applyFill="1" applyBorder="1" applyAlignment="1" applyProtection="1">
      <alignment horizontal="right" vertical="center"/>
      <protection locked="0"/>
    </xf>
    <xf numFmtId="168" fontId="6" fillId="3" borderId="22" xfId="0" applyNumberFormat="1" applyFont="1" applyFill="1" applyBorder="1" applyAlignment="1">
      <alignment horizontal="right" vertical="center"/>
    </xf>
    <xf numFmtId="0" fontId="6" fillId="4" borderId="22" xfId="2" applyNumberFormat="1" applyFont="1" applyFill="1" applyBorder="1" applyAlignment="1" applyProtection="1">
      <alignment horizontal="right" vertical="center"/>
      <protection locked="0"/>
    </xf>
    <xf numFmtId="0" fontId="6" fillId="3" borderId="23" xfId="0" applyFont="1" applyFill="1" applyBorder="1" applyAlignment="1">
      <alignment vertical="center"/>
    </xf>
    <xf numFmtId="167" fontId="6" fillId="3" borderId="24" xfId="0" applyNumberFormat="1" applyFont="1" applyFill="1" applyBorder="1" applyAlignment="1">
      <alignment vertical="center"/>
    </xf>
    <xf numFmtId="0" fontId="6" fillId="3" borderId="25" xfId="0" applyFont="1" applyFill="1" applyBorder="1" applyAlignment="1">
      <alignment horizontal="right" vertical="center"/>
    </xf>
    <xf numFmtId="168" fontId="6" fillId="3" borderId="26" xfId="0" applyNumberFormat="1" applyFont="1" applyFill="1" applyBorder="1" applyAlignment="1">
      <alignment horizontal="right" vertical="center"/>
    </xf>
    <xf numFmtId="0" fontId="6" fillId="4" borderId="8" xfId="0" applyFont="1" applyFill="1" applyBorder="1" applyAlignment="1" applyProtection="1">
      <alignment horizontal="right" vertical="center"/>
      <protection locked="0"/>
    </xf>
    <xf numFmtId="168" fontId="6" fillId="3" borderId="5" xfId="0" applyNumberFormat="1" applyFont="1" applyFill="1" applyBorder="1" applyAlignment="1">
      <alignment horizontal="right" vertical="center"/>
    </xf>
    <xf numFmtId="0" fontId="6" fillId="4" borderId="5" xfId="2" applyNumberFormat="1" applyFont="1" applyFill="1" applyBorder="1" applyAlignment="1" applyProtection="1">
      <alignment horizontal="right" vertical="center"/>
      <protection locked="0"/>
    </xf>
    <xf numFmtId="0" fontId="6" fillId="3" borderId="2" xfId="0" applyFont="1" applyFill="1" applyBorder="1" applyAlignment="1">
      <alignment vertical="center"/>
    </xf>
    <xf numFmtId="167" fontId="6" fillId="3" borderId="7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7" xfId="0" applyFont="1" applyFill="1" applyBorder="1" applyAlignment="1">
      <alignment vertical="center"/>
    </xf>
    <xf numFmtId="167" fontId="6" fillId="3" borderId="28" xfId="0" applyNumberFormat="1" applyFont="1" applyFill="1" applyBorder="1" applyAlignment="1">
      <alignment vertical="center"/>
    </xf>
    <xf numFmtId="168" fontId="6" fillId="3" borderId="29" xfId="0" applyNumberFormat="1" applyFont="1" applyFill="1" applyBorder="1" applyAlignment="1">
      <alignment horizontal="right" vertical="center"/>
    </xf>
    <xf numFmtId="0" fontId="6" fillId="3" borderId="27" xfId="0" applyFont="1" applyFill="1" applyBorder="1" applyAlignment="1">
      <alignment vertical="center" wrapText="1"/>
    </xf>
    <xf numFmtId="168" fontId="6" fillId="3" borderId="30" xfId="0" applyNumberFormat="1" applyFont="1" applyFill="1" applyBorder="1" applyAlignment="1">
      <alignment horizontal="right" vertical="center"/>
    </xf>
    <xf numFmtId="0" fontId="6" fillId="4" borderId="31" xfId="0" applyFont="1" applyFill="1" applyBorder="1" applyAlignment="1" applyProtection="1">
      <alignment horizontal="right" vertical="center"/>
      <protection locked="0"/>
    </xf>
    <xf numFmtId="0" fontId="6" fillId="3" borderId="3" xfId="0" applyFont="1" applyFill="1" applyBorder="1" applyAlignment="1">
      <alignment vertical="center"/>
    </xf>
    <xf numFmtId="167" fontId="6" fillId="3" borderId="32" xfId="0" applyNumberFormat="1" applyFont="1" applyFill="1" applyBorder="1" applyAlignment="1">
      <alignment vertical="center"/>
    </xf>
    <xf numFmtId="0" fontId="6" fillId="3" borderId="33" xfId="0" applyFont="1" applyFill="1" applyBorder="1" applyAlignment="1">
      <alignment horizontal="right" vertical="center"/>
    </xf>
    <xf numFmtId="168" fontId="6" fillId="3" borderId="34" xfId="0" applyNumberFormat="1" applyFont="1" applyFill="1" applyBorder="1" applyAlignment="1">
      <alignment horizontal="right" vertical="center"/>
    </xf>
    <xf numFmtId="0" fontId="6" fillId="0" borderId="35" xfId="0" applyFont="1" applyBorder="1" applyAlignment="1" applyProtection="1">
      <alignment horizontal="right" vertical="center"/>
      <protection locked="0"/>
    </xf>
    <xf numFmtId="168" fontId="6" fillId="3" borderId="36" xfId="0" applyNumberFormat="1" applyFont="1" applyFill="1" applyBorder="1" applyAlignment="1">
      <alignment horizontal="right" vertical="center"/>
    </xf>
    <xf numFmtId="0" fontId="6" fillId="5" borderId="36" xfId="0" applyFont="1" applyFill="1" applyBorder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5" fillId="3" borderId="16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5" fillId="5" borderId="16" xfId="1" applyNumberFormat="1" applyFont="1" applyFill="1" applyBorder="1" applyAlignment="1">
      <alignment vertical="center"/>
    </xf>
    <xf numFmtId="169" fontId="5" fillId="5" borderId="16" xfId="0" applyNumberFormat="1" applyFont="1" applyFill="1" applyBorder="1" applyAlignment="1">
      <alignment vertical="center"/>
    </xf>
    <xf numFmtId="168" fontId="5" fillId="3" borderId="16" xfId="0" applyNumberFormat="1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4" fillId="0" borderId="8" xfId="0" applyFont="1" applyBorder="1" applyAlignment="1">
      <alignment horizontal="centerContinuous" vertical="center" readingOrder="2"/>
    </xf>
    <xf numFmtId="0" fontId="6" fillId="0" borderId="0" xfId="0" applyFont="1" applyAlignment="1">
      <alignment horizontal="center"/>
    </xf>
    <xf numFmtId="0" fontId="6" fillId="3" borderId="0" xfId="0" applyFont="1" applyFill="1"/>
    <xf numFmtId="168" fontId="4" fillId="0" borderId="0" xfId="0" applyNumberFormat="1" applyFont="1"/>
    <xf numFmtId="168" fontId="4" fillId="0" borderId="0" xfId="0" applyNumberFormat="1" applyFont="1" applyAlignment="1">
      <alignment vertical="center"/>
    </xf>
    <xf numFmtId="168" fontId="6" fillId="5" borderId="36" xfId="0" applyNumberFormat="1" applyFont="1" applyFill="1" applyBorder="1" applyAlignment="1">
      <alignment horizontal="right" vertical="center"/>
    </xf>
    <xf numFmtId="169" fontId="6" fillId="3" borderId="16" xfId="0" applyNumberFormat="1" applyFont="1" applyFill="1" applyBorder="1" applyAlignment="1">
      <alignment vertical="center"/>
    </xf>
    <xf numFmtId="9" fontId="6" fillId="0" borderId="5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Continuous"/>
    </xf>
    <xf numFmtId="0" fontId="6" fillId="4" borderId="41" xfId="2" applyNumberFormat="1" applyFont="1" applyFill="1" applyBorder="1" applyAlignment="1" applyProtection="1">
      <alignment horizontal="right" vertical="center"/>
      <protection locked="0"/>
    </xf>
    <xf numFmtId="0" fontId="6" fillId="4" borderId="6" xfId="2" applyNumberFormat="1" applyFont="1" applyFill="1" applyBorder="1" applyAlignment="1" applyProtection="1">
      <alignment horizontal="right" vertical="center"/>
      <protection locked="0"/>
    </xf>
    <xf numFmtId="168" fontId="6" fillId="5" borderId="34" xfId="0" applyNumberFormat="1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168" fontId="6" fillId="5" borderId="5" xfId="0" applyNumberFormat="1" applyFont="1" applyFill="1" applyBorder="1" applyAlignment="1">
      <alignment horizontal="right" vertical="center"/>
    </xf>
    <xf numFmtId="168" fontId="6" fillId="5" borderId="26" xfId="0" applyNumberFormat="1" applyFont="1" applyFill="1" applyBorder="1" applyAlignment="1">
      <alignment horizontal="right" vertical="center"/>
    </xf>
    <xf numFmtId="0" fontId="6" fillId="5" borderId="40" xfId="0" applyFont="1" applyFill="1" applyBorder="1" applyAlignment="1">
      <alignment horizontal="right" vertical="center"/>
    </xf>
    <xf numFmtId="168" fontId="6" fillId="5" borderId="40" xfId="0" applyNumberFormat="1" applyFont="1" applyFill="1" applyBorder="1" applyAlignment="1">
      <alignment horizontal="right" vertical="center"/>
    </xf>
    <xf numFmtId="168" fontId="6" fillId="5" borderId="42" xfId="0" applyNumberFormat="1" applyFont="1" applyFill="1" applyBorder="1" applyAlignment="1">
      <alignment horizontal="right" vertical="center"/>
    </xf>
    <xf numFmtId="0" fontId="6" fillId="5" borderId="39" xfId="0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right" vertical="center"/>
    </xf>
    <xf numFmtId="0" fontId="6" fillId="5" borderId="35" xfId="0" applyFont="1" applyFill="1" applyBorder="1" applyAlignment="1">
      <alignment horizontal="right" vertical="center"/>
    </xf>
    <xf numFmtId="0" fontId="2" fillId="0" borderId="43" xfId="0" applyFont="1" applyBorder="1"/>
    <xf numFmtId="1" fontId="6" fillId="0" borderId="6" xfId="0" applyNumberFormat="1" applyFont="1" applyBorder="1" applyAlignment="1" applyProtection="1">
      <alignment horizontal="centerContinuous"/>
      <protection locked="0"/>
    </xf>
    <xf numFmtId="1" fontId="6" fillId="0" borderId="8" xfId="0" applyNumberFormat="1" applyFont="1" applyBorder="1" applyAlignment="1" applyProtection="1">
      <alignment horizontal="centerContinuous"/>
      <protection locked="0"/>
    </xf>
    <xf numFmtId="167" fontId="6" fillId="0" borderId="28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70" fontId="6" fillId="0" borderId="29" xfId="0" applyNumberFormat="1" applyFont="1" applyBorder="1" applyAlignment="1">
      <alignment horizontal="right" vertical="center"/>
    </xf>
    <xf numFmtId="170" fontId="6" fillId="0" borderId="40" xfId="0" applyNumberFormat="1" applyFont="1" applyBorder="1" applyAlignment="1">
      <alignment horizontal="righ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4" fillId="0" borderId="6" xfId="0" applyFont="1" applyBorder="1" applyAlignment="1" applyProtection="1">
      <alignment horizontal="center"/>
      <protection locked="0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47625</xdr:rowOff>
    </xdr:from>
    <xdr:to>
      <xdr:col>1</xdr:col>
      <xdr:colOff>1200150</xdr:colOff>
      <xdr:row>8</xdr:row>
      <xdr:rowOff>28575</xdr:rowOff>
    </xdr:to>
    <xdr:pic>
      <xdr:nvPicPr>
        <xdr:cNvPr id="1025" name="Imagem 5">
          <a:extLst>
            <a:ext uri="{FF2B5EF4-FFF2-40B4-BE49-F238E27FC236}">
              <a16:creationId xmlns:a16="http://schemas.microsoft.com/office/drawing/2014/main" id="{249C1728-B575-E640-482D-FE33D2A27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7625"/>
          <a:ext cx="9715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8</xdr:row>
      <xdr:rowOff>76200</xdr:rowOff>
    </xdr:from>
    <xdr:to>
      <xdr:col>1</xdr:col>
      <xdr:colOff>1047750</xdr:colOff>
      <xdr:row>14</xdr:row>
      <xdr:rowOff>152400</xdr:rowOff>
    </xdr:to>
    <xdr:pic>
      <xdr:nvPicPr>
        <xdr:cNvPr id="1026" name="Imagem 6">
          <a:extLst>
            <a:ext uri="{FF2B5EF4-FFF2-40B4-BE49-F238E27FC236}">
              <a16:creationId xmlns:a16="http://schemas.microsoft.com/office/drawing/2014/main" id="{23795D92-18F3-7A72-F1D0-697A271F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093"/>
        <a:stretch>
          <a:fillRect/>
        </a:stretch>
      </xdr:blipFill>
      <xdr:spPr bwMode="auto">
        <a:xfrm>
          <a:off x="523875" y="1200150"/>
          <a:ext cx="7239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8"/>
  <sheetViews>
    <sheetView tabSelected="1" zoomScale="80" zoomScaleSheetLayoutView="100" workbookViewId="0">
      <selection activeCell="E42" sqref="E42"/>
    </sheetView>
  </sheetViews>
  <sheetFormatPr defaultColWidth="13.125" defaultRowHeight="15.75"/>
  <cols>
    <col min="1" max="1" width="3" style="5" customWidth="1"/>
    <col min="2" max="2" width="32.75" style="5" customWidth="1"/>
    <col min="3" max="3" width="8.625" style="5" bestFit="1" customWidth="1"/>
    <col min="4" max="4" width="7.625" style="5" customWidth="1"/>
    <col min="5" max="5" width="10.125" style="5" customWidth="1"/>
    <col min="6" max="6" width="7.625" style="5" customWidth="1"/>
    <col min="7" max="7" width="10.125" style="5" customWidth="1"/>
    <col min="8" max="8" width="7.625" style="5" customWidth="1"/>
    <col min="9" max="9" width="10.125" style="5" customWidth="1"/>
    <col min="10" max="10" width="7.625" style="5" customWidth="1"/>
    <col min="11" max="11" width="10.125" style="5" customWidth="1"/>
    <col min="12" max="16384" width="13.125" style="5"/>
  </cols>
  <sheetData>
    <row r="1" spans="3:13" ht="15.75" customHeight="1">
      <c r="C1" s="98" t="s">
        <v>0</v>
      </c>
      <c r="D1" s="98"/>
      <c r="E1" s="99"/>
      <c r="F1" s="6">
        <v>147</v>
      </c>
    </row>
    <row r="2" spans="3:13" ht="6.75" customHeight="1">
      <c r="E2" s="7"/>
    </row>
    <row r="3" spans="3:13" ht="15.75" customHeight="1">
      <c r="C3" s="98" t="s">
        <v>1</v>
      </c>
      <c r="D3" s="98"/>
      <c r="E3" s="98"/>
      <c r="F3" s="119"/>
      <c r="G3" s="8" t="s">
        <v>72</v>
      </c>
      <c r="H3" s="8"/>
      <c r="I3" s="8"/>
      <c r="J3" s="8"/>
      <c r="K3" s="80"/>
      <c r="L3" s="80"/>
      <c r="M3" s="19"/>
    </row>
    <row r="4" spans="3:13" ht="6" customHeight="1">
      <c r="E4" s="7"/>
      <c r="F4" s="9"/>
    </row>
    <row r="5" spans="3:13" ht="16.5" customHeight="1">
      <c r="C5" s="98" t="s">
        <v>2</v>
      </c>
      <c r="D5" s="98"/>
      <c r="E5" s="99"/>
      <c r="F5" s="10">
        <v>45605</v>
      </c>
      <c r="G5" s="11"/>
      <c r="H5" s="12"/>
    </row>
    <row r="6" spans="3:13" ht="6" customHeight="1">
      <c r="E6" s="7"/>
      <c r="F6" s="13"/>
      <c r="H6" s="12"/>
    </row>
    <row r="7" spans="3:13">
      <c r="C7" s="98" t="s">
        <v>3</v>
      </c>
      <c r="D7" s="98"/>
      <c r="E7" s="99"/>
      <c r="F7" s="14">
        <v>0.89583333333333337</v>
      </c>
      <c r="G7" s="15"/>
    </row>
    <row r="8" spans="3:13" ht="6" customHeight="1">
      <c r="E8" s="7"/>
      <c r="F8" s="16"/>
    </row>
    <row r="9" spans="3:13">
      <c r="C9" s="98" t="s">
        <v>4</v>
      </c>
      <c r="D9" s="98"/>
      <c r="E9" s="98"/>
      <c r="F9" s="17" t="s">
        <v>60</v>
      </c>
      <c r="G9" s="18"/>
      <c r="H9" s="19"/>
      <c r="I9" s="97"/>
      <c r="J9" s="97"/>
    </row>
    <row r="10" spans="3:13" ht="6" customHeight="1">
      <c r="E10" s="7"/>
    </row>
    <row r="11" spans="3:13" ht="15.75" customHeight="1">
      <c r="C11" s="98" t="s">
        <v>5</v>
      </c>
      <c r="D11" s="98"/>
      <c r="E11" s="98"/>
      <c r="F11" s="17" t="s">
        <v>41</v>
      </c>
      <c r="G11" s="20"/>
    </row>
    <row r="12" spans="3:13" ht="6" customHeight="1">
      <c r="E12" s="7"/>
    </row>
    <row r="13" spans="3:13" ht="15.75" customHeight="1">
      <c r="C13" s="98" t="s">
        <v>6</v>
      </c>
      <c r="D13" s="98"/>
      <c r="E13" s="98"/>
      <c r="F13" s="17" t="s">
        <v>42</v>
      </c>
      <c r="G13" s="18"/>
      <c r="H13" s="18"/>
      <c r="I13" s="20"/>
    </row>
    <row r="14" spans="3:13" ht="6" customHeight="1">
      <c r="E14" s="12"/>
      <c r="F14" s="12"/>
    </row>
    <row r="15" spans="3:13" ht="15.75" customHeight="1">
      <c r="C15" s="98" t="s">
        <v>7</v>
      </c>
      <c r="D15" s="98"/>
      <c r="E15" s="99"/>
      <c r="F15" s="21" t="s">
        <v>43</v>
      </c>
      <c r="G15" s="22"/>
      <c r="H15" s="22"/>
      <c r="I15" s="72"/>
    </row>
    <row r="16" spans="3:13" ht="6" customHeight="1">
      <c r="E16" s="12"/>
      <c r="F16" s="12"/>
    </row>
    <row r="17" spans="2:12" ht="15.75" customHeight="1">
      <c r="C17" s="98" t="s">
        <v>71</v>
      </c>
      <c r="D17" s="98"/>
      <c r="E17" s="99"/>
      <c r="F17" s="94">
        <v>109</v>
      </c>
      <c r="G17" s="95"/>
      <c r="H17" s="12"/>
    </row>
    <row r="18" spans="2:12" ht="15.75" customHeight="1">
      <c r="E18" s="7"/>
      <c r="I18" s="73"/>
      <c r="J18" s="73"/>
    </row>
    <row r="19" spans="2:12" ht="15.75" customHeight="1">
      <c r="B19" s="23"/>
      <c r="C19" s="23"/>
      <c r="D19" s="23"/>
      <c r="E19" s="24" t="s">
        <v>8</v>
      </c>
      <c r="F19" s="23"/>
      <c r="G19" s="23"/>
      <c r="H19" s="23"/>
      <c r="I19" s="74"/>
      <c r="J19" s="23"/>
      <c r="K19" s="23"/>
    </row>
    <row r="20" spans="2:12" ht="15.75" customHeight="1">
      <c r="B20" s="12"/>
      <c r="C20" s="12"/>
    </row>
    <row r="21" spans="2:12" ht="19.5" customHeight="1">
      <c r="B21" s="12"/>
      <c r="C21" s="12"/>
      <c r="D21" s="110" t="s">
        <v>9</v>
      </c>
      <c r="E21" s="111"/>
      <c r="F21" s="100" t="s">
        <v>10</v>
      </c>
      <c r="G21" s="101"/>
      <c r="H21" s="101"/>
      <c r="I21" s="101"/>
      <c r="J21" s="101"/>
      <c r="K21" s="102"/>
    </row>
    <row r="22" spans="2:12" ht="15.75" customHeight="1">
      <c r="B22" s="12"/>
      <c r="C22" s="12"/>
      <c r="D22" s="112"/>
      <c r="E22" s="113"/>
      <c r="F22" s="100" t="s">
        <v>11</v>
      </c>
      <c r="G22" s="102"/>
      <c r="H22" s="100" t="s">
        <v>12</v>
      </c>
      <c r="I22" s="102"/>
      <c r="J22" s="100" t="s">
        <v>13</v>
      </c>
      <c r="K22" s="102"/>
      <c r="L22" s="75"/>
    </row>
    <row r="23" spans="2:12" s="4" customFormat="1" ht="16.5" thickBot="1">
      <c r="B23" s="27" t="s">
        <v>14</v>
      </c>
      <c r="C23" s="25" t="s">
        <v>15</v>
      </c>
      <c r="D23" s="28" t="s">
        <v>16</v>
      </c>
      <c r="E23" s="28" t="s">
        <v>17</v>
      </c>
      <c r="F23" s="26" t="s">
        <v>16</v>
      </c>
      <c r="G23" s="27" t="s">
        <v>17</v>
      </c>
      <c r="H23" s="27" t="s">
        <v>16</v>
      </c>
      <c r="I23" s="27" t="s">
        <v>17</v>
      </c>
      <c r="J23" s="27" t="s">
        <v>16</v>
      </c>
      <c r="K23" s="27" t="s">
        <v>17</v>
      </c>
      <c r="L23" s="76"/>
    </row>
    <row r="24" spans="2:12" s="4" customFormat="1">
      <c r="B24" s="29" t="s">
        <v>18</v>
      </c>
      <c r="C24" s="30">
        <v>10</v>
      </c>
      <c r="D24" s="31">
        <f>SUM(F24,H24,J24)</f>
        <v>31</v>
      </c>
      <c r="E24" s="32">
        <f t="shared" ref="E24:E49" si="0">G24+I24+K24</f>
        <v>310</v>
      </c>
      <c r="F24" s="33">
        <v>4</v>
      </c>
      <c r="G24" s="34">
        <f t="shared" ref="G24" si="1">F24*C24</f>
        <v>40</v>
      </c>
      <c r="H24" s="35"/>
      <c r="I24" s="34">
        <f t="shared" ref="I24" si="2">H24*C24</f>
        <v>0</v>
      </c>
      <c r="J24" s="81">
        <v>27</v>
      </c>
      <c r="K24" s="32">
        <f t="shared" ref="K24" si="3">J24*C24</f>
        <v>270</v>
      </c>
      <c r="L24" s="76"/>
    </row>
    <row r="25" spans="2:12" s="4" customFormat="1">
      <c r="B25" s="36" t="s">
        <v>19</v>
      </c>
      <c r="C25" s="37">
        <v>7</v>
      </c>
      <c r="D25" s="38">
        <f t="shared" ref="D25:D49" si="4">SUM(F25,H25,J25)</f>
        <v>3</v>
      </c>
      <c r="E25" s="39">
        <f t="shared" si="0"/>
        <v>21</v>
      </c>
      <c r="F25" s="40">
        <v>2</v>
      </c>
      <c r="G25" s="41">
        <f t="shared" ref="G25:G49" si="5">F25*C25</f>
        <v>14</v>
      </c>
      <c r="H25" s="42"/>
      <c r="I25" s="41">
        <f t="shared" ref="I25:I42" si="6">H25*C25</f>
        <v>0</v>
      </c>
      <c r="J25" s="82">
        <v>1</v>
      </c>
      <c r="K25" s="39">
        <f t="shared" ref="K25:K42" si="7">J25*C25</f>
        <v>7</v>
      </c>
      <c r="L25" s="76"/>
    </row>
    <row r="26" spans="2:12" s="4" customFormat="1">
      <c r="B26" s="43" t="s">
        <v>20</v>
      </c>
      <c r="C26" s="37">
        <v>6</v>
      </c>
      <c r="D26" s="38">
        <f t="shared" si="4"/>
        <v>7</v>
      </c>
      <c r="E26" s="39">
        <f t="shared" si="0"/>
        <v>42</v>
      </c>
      <c r="F26" s="40">
        <v>3</v>
      </c>
      <c r="G26" s="41">
        <f t="shared" si="5"/>
        <v>18</v>
      </c>
      <c r="H26" s="42"/>
      <c r="I26" s="41">
        <f t="shared" si="6"/>
        <v>0</v>
      </c>
      <c r="J26" s="82">
        <v>4</v>
      </c>
      <c r="K26" s="39">
        <f t="shared" si="7"/>
        <v>24</v>
      </c>
      <c r="L26" s="76"/>
    </row>
    <row r="27" spans="2:12" s="4" customFormat="1">
      <c r="B27" s="43" t="s">
        <v>21</v>
      </c>
      <c r="C27" s="44">
        <v>6</v>
      </c>
      <c r="D27" s="38">
        <f t="shared" si="4"/>
        <v>5</v>
      </c>
      <c r="E27" s="39">
        <f t="shared" si="0"/>
        <v>30</v>
      </c>
      <c r="F27" s="40">
        <v>2</v>
      </c>
      <c r="G27" s="41">
        <f t="shared" si="5"/>
        <v>12</v>
      </c>
      <c r="H27" s="42"/>
      <c r="I27" s="41">
        <f t="shared" si="6"/>
        <v>0</v>
      </c>
      <c r="J27" s="82">
        <v>3</v>
      </c>
      <c r="K27" s="39">
        <f t="shared" si="7"/>
        <v>18</v>
      </c>
      <c r="L27" s="76"/>
    </row>
    <row r="28" spans="2:12" s="4" customFormat="1">
      <c r="B28" s="45" t="s">
        <v>22</v>
      </c>
      <c r="C28" s="44">
        <v>6</v>
      </c>
      <c r="D28" s="38">
        <f t="shared" si="4"/>
        <v>11</v>
      </c>
      <c r="E28" s="39">
        <f t="shared" si="0"/>
        <v>66</v>
      </c>
      <c r="F28" s="40">
        <v>9</v>
      </c>
      <c r="G28" s="41">
        <f t="shared" si="5"/>
        <v>54</v>
      </c>
      <c r="H28" s="42"/>
      <c r="I28" s="41">
        <f t="shared" si="6"/>
        <v>0</v>
      </c>
      <c r="J28" s="82">
        <v>2</v>
      </c>
      <c r="K28" s="39">
        <f t="shared" si="7"/>
        <v>12</v>
      </c>
      <c r="L28" s="76"/>
    </row>
    <row r="29" spans="2:12" s="4" customFormat="1">
      <c r="B29" s="36" t="s">
        <v>23</v>
      </c>
      <c r="C29" s="37">
        <v>6</v>
      </c>
      <c r="D29" s="38">
        <f t="shared" si="4"/>
        <v>9</v>
      </c>
      <c r="E29" s="39">
        <f t="shared" si="0"/>
        <v>54</v>
      </c>
      <c r="F29" s="40">
        <v>8</v>
      </c>
      <c r="G29" s="41">
        <f t="shared" si="5"/>
        <v>48</v>
      </c>
      <c r="H29" s="42"/>
      <c r="I29" s="41">
        <f t="shared" si="6"/>
        <v>0</v>
      </c>
      <c r="J29" s="82">
        <v>1</v>
      </c>
      <c r="K29" s="39">
        <f t="shared" si="7"/>
        <v>6</v>
      </c>
    </row>
    <row r="30" spans="2:12" s="4" customFormat="1">
      <c r="B30" s="36" t="s">
        <v>24</v>
      </c>
      <c r="C30" s="37">
        <v>6</v>
      </c>
      <c r="D30" s="38">
        <f t="shared" si="4"/>
        <v>2</v>
      </c>
      <c r="E30" s="39">
        <f t="shared" si="0"/>
        <v>12</v>
      </c>
      <c r="F30" s="40">
        <v>2</v>
      </c>
      <c r="G30" s="41">
        <f t="shared" si="5"/>
        <v>12</v>
      </c>
      <c r="H30" s="42"/>
      <c r="I30" s="41">
        <f t="shared" si="6"/>
        <v>0</v>
      </c>
      <c r="J30" s="82"/>
      <c r="K30" s="39">
        <f t="shared" si="7"/>
        <v>0</v>
      </c>
    </row>
    <row r="31" spans="2:12" s="4" customFormat="1">
      <c r="B31" s="36" t="s">
        <v>25</v>
      </c>
      <c r="C31" s="37">
        <v>5</v>
      </c>
      <c r="D31" s="38">
        <f t="shared" si="4"/>
        <v>3</v>
      </c>
      <c r="E31" s="39">
        <f t="shared" si="0"/>
        <v>15</v>
      </c>
      <c r="F31" s="40">
        <v>2</v>
      </c>
      <c r="G31" s="41">
        <f t="shared" si="5"/>
        <v>10</v>
      </c>
      <c r="H31" s="42"/>
      <c r="I31" s="41">
        <f t="shared" si="6"/>
        <v>0</v>
      </c>
      <c r="J31" s="82">
        <v>1</v>
      </c>
      <c r="K31" s="39">
        <f t="shared" si="7"/>
        <v>5</v>
      </c>
    </row>
    <row r="32" spans="2:12" s="4" customFormat="1">
      <c r="B32" s="36" t="s">
        <v>26</v>
      </c>
      <c r="C32" s="37">
        <v>5</v>
      </c>
      <c r="D32" s="38">
        <f t="shared" si="4"/>
        <v>24</v>
      </c>
      <c r="E32" s="39">
        <f t="shared" si="0"/>
        <v>120</v>
      </c>
      <c r="F32" s="40">
        <v>23</v>
      </c>
      <c r="G32" s="41">
        <f t="shared" si="5"/>
        <v>115</v>
      </c>
      <c r="H32" s="42"/>
      <c r="I32" s="41">
        <f t="shared" si="6"/>
        <v>0</v>
      </c>
      <c r="J32" s="82">
        <v>1</v>
      </c>
      <c r="K32" s="39">
        <f t="shared" si="7"/>
        <v>5</v>
      </c>
    </row>
    <row r="33" spans="2:11" s="4" customFormat="1">
      <c r="B33" s="43" t="s">
        <v>27</v>
      </c>
      <c r="C33" s="44">
        <v>6</v>
      </c>
      <c r="D33" s="38">
        <f t="shared" si="4"/>
        <v>1</v>
      </c>
      <c r="E33" s="39">
        <f t="shared" si="0"/>
        <v>6</v>
      </c>
      <c r="F33" s="40"/>
      <c r="G33" s="41">
        <f t="shared" si="5"/>
        <v>0</v>
      </c>
      <c r="H33" s="42"/>
      <c r="I33" s="41">
        <f t="shared" si="6"/>
        <v>0</v>
      </c>
      <c r="J33" s="82">
        <v>1</v>
      </c>
      <c r="K33" s="39">
        <f t="shared" si="7"/>
        <v>6</v>
      </c>
    </row>
    <row r="34" spans="2:11" s="4" customFormat="1">
      <c r="B34" s="46" t="s">
        <v>28</v>
      </c>
      <c r="C34" s="47">
        <v>6</v>
      </c>
      <c r="D34" s="38">
        <f t="shared" si="4"/>
        <v>0</v>
      </c>
      <c r="E34" s="39">
        <f t="shared" si="0"/>
        <v>0</v>
      </c>
      <c r="F34" s="40"/>
      <c r="G34" s="41">
        <f t="shared" si="5"/>
        <v>0</v>
      </c>
      <c r="H34" s="42"/>
      <c r="I34" s="41">
        <f t="shared" si="6"/>
        <v>0</v>
      </c>
      <c r="J34" s="82"/>
      <c r="K34" s="39">
        <f t="shared" si="7"/>
        <v>0</v>
      </c>
    </row>
    <row r="35" spans="2:11" s="4" customFormat="1">
      <c r="B35" s="46" t="s">
        <v>29</v>
      </c>
      <c r="C35" s="47">
        <v>6</v>
      </c>
      <c r="D35" s="38">
        <f t="shared" si="4"/>
        <v>0</v>
      </c>
      <c r="E35" s="39">
        <f t="shared" si="0"/>
        <v>0</v>
      </c>
      <c r="F35" s="40"/>
      <c r="G35" s="41">
        <f t="shared" si="5"/>
        <v>0</v>
      </c>
      <c r="H35" s="42"/>
      <c r="I35" s="41">
        <f t="shared" si="6"/>
        <v>0</v>
      </c>
      <c r="J35" s="82"/>
      <c r="K35" s="39">
        <f t="shared" si="7"/>
        <v>0</v>
      </c>
    </row>
    <row r="36" spans="2:11" s="4" customFormat="1" ht="25.5">
      <c r="B36" s="49" t="s">
        <v>30</v>
      </c>
      <c r="C36" s="47">
        <v>4</v>
      </c>
      <c r="D36" s="38">
        <f t="shared" si="4"/>
        <v>9</v>
      </c>
      <c r="E36" s="39">
        <f t="shared" si="0"/>
        <v>36</v>
      </c>
      <c r="F36" s="40">
        <v>8</v>
      </c>
      <c r="G36" s="41">
        <f t="shared" si="5"/>
        <v>32</v>
      </c>
      <c r="H36" s="42"/>
      <c r="I36" s="41">
        <f t="shared" si="6"/>
        <v>0</v>
      </c>
      <c r="J36" s="82">
        <v>1</v>
      </c>
      <c r="K36" s="39">
        <f t="shared" si="7"/>
        <v>4</v>
      </c>
    </row>
    <row r="37" spans="2:11" s="4" customFormat="1">
      <c r="B37" s="49" t="s">
        <v>31</v>
      </c>
      <c r="C37" s="47">
        <v>5</v>
      </c>
      <c r="D37" s="38">
        <f t="shared" si="4"/>
        <v>2</v>
      </c>
      <c r="E37" s="50">
        <f t="shared" si="0"/>
        <v>10</v>
      </c>
      <c r="F37" s="51">
        <v>1</v>
      </c>
      <c r="G37" s="41">
        <f t="shared" si="5"/>
        <v>5</v>
      </c>
      <c r="H37" s="42"/>
      <c r="I37" s="41">
        <f t="shared" si="6"/>
        <v>0</v>
      </c>
      <c r="J37" s="82">
        <v>1</v>
      </c>
      <c r="K37" s="39">
        <f t="shared" si="7"/>
        <v>5</v>
      </c>
    </row>
    <row r="38" spans="2:11" s="4" customFormat="1">
      <c r="B38" s="46" t="s">
        <v>64</v>
      </c>
      <c r="C38" s="47">
        <v>5</v>
      </c>
      <c r="D38" s="38">
        <f t="shared" ref="D38" si="8">SUM(F38,H38,J38)</f>
        <v>0</v>
      </c>
      <c r="E38" s="50">
        <f t="shared" ref="E38" si="9">G38+I38+K38</f>
        <v>0</v>
      </c>
      <c r="F38" s="51"/>
      <c r="G38" s="41">
        <f>F38*C38</f>
        <v>0</v>
      </c>
      <c r="H38" s="42"/>
      <c r="I38" s="41">
        <f>H38*C38</f>
        <v>0</v>
      </c>
      <c r="J38" s="82"/>
      <c r="K38" s="39">
        <f>J38*C38</f>
        <v>0</v>
      </c>
    </row>
    <row r="39" spans="2:11" s="4" customFormat="1">
      <c r="B39" s="46" t="s">
        <v>32</v>
      </c>
      <c r="C39" s="47">
        <v>6</v>
      </c>
      <c r="D39" s="38">
        <f t="shared" si="4"/>
        <v>0</v>
      </c>
      <c r="E39" s="50">
        <f t="shared" si="0"/>
        <v>0</v>
      </c>
      <c r="F39" s="51"/>
      <c r="G39" s="41">
        <f t="shared" si="5"/>
        <v>0</v>
      </c>
      <c r="H39" s="42"/>
      <c r="I39" s="41">
        <f t="shared" si="6"/>
        <v>0</v>
      </c>
      <c r="J39" s="82"/>
      <c r="K39" s="39">
        <f t="shared" si="7"/>
        <v>0</v>
      </c>
    </row>
    <row r="40" spans="2:11" s="4" customFormat="1">
      <c r="B40" s="46" t="s">
        <v>33</v>
      </c>
      <c r="C40" s="47">
        <v>4</v>
      </c>
      <c r="D40" s="38">
        <f t="shared" si="4"/>
        <v>0</v>
      </c>
      <c r="E40" s="50">
        <f t="shared" si="0"/>
        <v>0</v>
      </c>
      <c r="F40" s="51"/>
      <c r="G40" s="41">
        <f t="shared" si="5"/>
        <v>0</v>
      </c>
      <c r="H40" s="42"/>
      <c r="I40" s="41">
        <f t="shared" si="6"/>
        <v>0</v>
      </c>
      <c r="J40" s="82"/>
      <c r="K40" s="39">
        <f t="shared" si="7"/>
        <v>0</v>
      </c>
    </row>
    <row r="41" spans="2:11" s="4" customFormat="1">
      <c r="B41" s="46" t="s">
        <v>65</v>
      </c>
      <c r="C41" s="47">
        <v>5</v>
      </c>
      <c r="D41" s="38">
        <f t="shared" ref="D41" si="10">SUM(F41,H41,J41)</f>
        <v>0</v>
      </c>
      <c r="E41" s="50">
        <f t="shared" ref="E41" si="11">G41+I41+K41</f>
        <v>0</v>
      </c>
      <c r="F41" s="51"/>
      <c r="G41" s="41">
        <f t="shared" si="5"/>
        <v>0</v>
      </c>
      <c r="H41" s="42"/>
      <c r="I41" s="41">
        <f t="shared" si="6"/>
        <v>0</v>
      </c>
      <c r="J41" s="82"/>
      <c r="K41" s="39">
        <f t="shared" si="7"/>
        <v>0</v>
      </c>
    </row>
    <row r="42" spans="2:11" s="4" customFormat="1">
      <c r="B42" s="46" t="s">
        <v>66</v>
      </c>
      <c r="C42" s="47">
        <v>3</v>
      </c>
      <c r="D42" s="38">
        <f t="shared" ref="D42" si="12">SUM(F42,H42,J42)</f>
        <v>0</v>
      </c>
      <c r="E42" s="50">
        <f t="shared" ref="E42" si="13">G42+I42+K42</f>
        <v>0</v>
      </c>
      <c r="F42" s="51"/>
      <c r="G42" s="48">
        <f t="shared" si="5"/>
        <v>0</v>
      </c>
      <c r="H42" s="42"/>
      <c r="I42" s="41">
        <f t="shared" si="6"/>
        <v>0</v>
      </c>
      <c r="J42" s="82"/>
      <c r="K42" s="39">
        <f t="shared" si="7"/>
        <v>0</v>
      </c>
    </row>
    <row r="43" spans="2:11" s="4" customFormat="1">
      <c r="B43" s="49" t="s">
        <v>67</v>
      </c>
      <c r="C43" s="47">
        <v>3</v>
      </c>
      <c r="D43" s="38">
        <f t="shared" ref="D43:D44" si="14">SUM(F43,H43,J43)</f>
        <v>0</v>
      </c>
      <c r="E43" s="50">
        <f t="shared" ref="E43:E44" si="15">G43+I43+K43</f>
        <v>0</v>
      </c>
      <c r="F43" s="51"/>
      <c r="G43" s="48">
        <f t="shared" ref="G43" si="16">F43*C43</f>
        <v>0</v>
      </c>
      <c r="H43" s="42"/>
      <c r="I43" s="41">
        <f t="shared" ref="I43" si="17">H43*C43</f>
        <v>0</v>
      </c>
      <c r="J43" s="82"/>
      <c r="K43" s="39">
        <f t="shared" ref="K43" si="18">J43*C43</f>
        <v>0</v>
      </c>
    </row>
    <row r="44" spans="2:11" s="4" customFormat="1">
      <c r="B44" s="49" t="s">
        <v>69</v>
      </c>
      <c r="C44" s="96"/>
      <c r="D44" s="38">
        <f t="shared" si="14"/>
        <v>0</v>
      </c>
      <c r="E44" s="50">
        <f t="shared" si="15"/>
        <v>0</v>
      </c>
      <c r="F44" s="51"/>
      <c r="G44" s="48">
        <f t="shared" ref="G44" si="19">F44*C44</f>
        <v>0</v>
      </c>
      <c r="H44" s="42"/>
      <c r="I44" s="41">
        <f t="shared" ref="I44" si="20">H44*C44</f>
        <v>0</v>
      </c>
      <c r="J44" s="82"/>
      <c r="K44" s="39">
        <f t="shared" ref="K44" si="21">J44*C44</f>
        <v>0</v>
      </c>
    </row>
    <row r="45" spans="2:11" s="4" customFormat="1">
      <c r="B45" s="49" t="s">
        <v>70</v>
      </c>
      <c r="C45" s="96"/>
      <c r="D45" s="38">
        <f t="shared" ref="D45" si="22">SUM(F45,H45,J45)</f>
        <v>0</v>
      </c>
      <c r="E45" s="50">
        <f t="shared" ref="E45" si="23">G45+I45+K45</f>
        <v>0</v>
      </c>
      <c r="F45" s="51"/>
      <c r="G45" s="48">
        <f t="shared" ref="G45" si="24">F45*C45</f>
        <v>0</v>
      </c>
      <c r="H45" s="42"/>
      <c r="I45" s="41">
        <f t="shared" ref="I45" si="25">H45*C45</f>
        <v>0</v>
      </c>
      <c r="J45" s="82"/>
      <c r="K45" s="39">
        <f t="shared" ref="K45" si="26">J45*C45</f>
        <v>0</v>
      </c>
    </row>
    <row r="46" spans="2:11" s="4" customFormat="1">
      <c r="B46" s="46" t="s">
        <v>61</v>
      </c>
      <c r="C46" s="47">
        <v>5</v>
      </c>
      <c r="D46" s="38">
        <f t="shared" ref="D46:D48" si="27">SUM(F46,H46,J46)</f>
        <v>0</v>
      </c>
      <c r="E46" s="50">
        <f t="shared" ref="E46:E48" si="28">G46+I46+K46</f>
        <v>0</v>
      </c>
      <c r="F46" s="51"/>
      <c r="G46" s="41">
        <f>F46*C46</f>
        <v>0</v>
      </c>
      <c r="H46" s="90"/>
      <c r="I46" s="88"/>
      <c r="J46" s="87"/>
      <c r="K46" s="89"/>
    </row>
    <row r="47" spans="2:11" s="4" customFormat="1">
      <c r="B47" s="46" t="s">
        <v>62</v>
      </c>
      <c r="C47" s="47">
        <v>8</v>
      </c>
      <c r="D47" s="38">
        <f t="shared" si="27"/>
        <v>0</v>
      </c>
      <c r="E47" s="50">
        <f t="shared" si="28"/>
        <v>0</v>
      </c>
      <c r="F47" s="51"/>
      <c r="G47" s="41">
        <f>F47*C47</f>
        <v>0</v>
      </c>
      <c r="H47" s="91"/>
      <c r="I47" s="85"/>
      <c r="J47" s="84"/>
      <c r="K47" s="86"/>
    </row>
    <row r="48" spans="2:11" s="4" customFormat="1">
      <c r="B48" s="46" t="s">
        <v>63</v>
      </c>
      <c r="C48" s="47">
        <v>4.5</v>
      </c>
      <c r="D48" s="38">
        <f t="shared" si="27"/>
        <v>0</v>
      </c>
      <c r="E48" s="50">
        <f t="shared" si="28"/>
        <v>0</v>
      </c>
      <c r="F48" s="51"/>
      <c r="G48" s="41">
        <f>F48*C48</f>
        <v>0</v>
      </c>
      <c r="H48" s="91"/>
      <c r="I48" s="85"/>
      <c r="J48" s="84"/>
      <c r="K48" s="86"/>
    </row>
    <row r="49" spans="2:11" s="4" customFormat="1" ht="16.5" thickBot="1">
      <c r="B49" s="52" t="s">
        <v>34</v>
      </c>
      <c r="C49" s="53">
        <v>0</v>
      </c>
      <c r="D49" s="54">
        <f t="shared" si="4"/>
        <v>2</v>
      </c>
      <c r="E49" s="55">
        <f t="shared" si="0"/>
        <v>0</v>
      </c>
      <c r="F49" s="56">
        <v>2</v>
      </c>
      <c r="G49" s="57">
        <f t="shared" si="5"/>
        <v>0</v>
      </c>
      <c r="H49" s="92"/>
      <c r="I49" s="77"/>
      <c r="J49" s="58"/>
      <c r="K49" s="83"/>
    </row>
    <row r="50" spans="2:11" s="4" customFormat="1" ht="8.25" customHeight="1" thickBot="1">
      <c r="B50" s="59"/>
      <c r="C50" s="59"/>
      <c r="D50" s="59"/>
      <c r="E50" s="59"/>
      <c r="F50" s="59"/>
      <c r="G50" s="59"/>
      <c r="H50" s="59"/>
      <c r="I50" s="59"/>
      <c r="J50" s="59"/>
      <c r="K50" s="59"/>
    </row>
    <row r="51" spans="2:11" s="4" customFormat="1" ht="20.25" customHeight="1">
      <c r="B51" s="60" t="s">
        <v>9</v>
      </c>
      <c r="C51" s="61"/>
      <c r="D51" s="62">
        <f>SUM(D24:D49)</f>
        <v>109</v>
      </c>
      <c r="E51" s="63">
        <f>SUM(E24:E49)</f>
        <v>722</v>
      </c>
      <c r="F51" s="60">
        <f>SUM(F24:F49)</f>
        <v>66</v>
      </c>
      <c r="G51" s="64">
        <f>SUM(G24:G49)</f>
        <v>360</v>
      </c>
      <c r="H51" s="60">
        <f>SUM(H24:H45)</f>
        <v>0</v>
      </c>
      <c r="I51" s="78">
        <f>SUM(I24:I45)</f>
        <v>0</v>
      </c>
      <c r="J51" s="60">
        <f>SUM(J24:J45)</f>
        <v>43</v>
      </c>
      <c r="K51" s="64">
        <f>SUM(K24:K45)</f>
        <v>362</v>
      </c>
    </row>
    <row r="52" spans="2:11" s="4" customFormat="1" ht="8.25" customHeight="1">
      <c r="B52" s="65"/>
      <c r="C52" s="66"/>
      <c r="D52" s="66"/>
      <c r="E52" s="67"/>
      <c r="F52" s="68"/>
      <c r="G52" s="67"/>
      <c r="H52" s="68"/>
      <c r="I52" s="67"/>
      <c r="J52" s="68"/>
      <c r="K52" s="67"/>
    </row>
    <row r="53" spans="2:11" s="4" customFormat="1">
      <c r="B53" s="103" t="s">
        <v>35</v>
      </c>
      <c r="C53" s="104"/>
      <c r="D53" s="104"/>
      <c r="E53" s="104"/>
      <c r="F53" s="104"/>
      <c r="G53" s="105"/>
      <c r="H53" s="68"/>
      <c r="I53" s="106" t="s">
        <v>36</v>
      </c>
      <c r="J53" s="107"/>
      <c r="K53" s="79">
        <v>0.03</v>
      </c>
    </row>
    <row r="54" spans="2:11" ht="9.75" customHeight="1">
      <c r="B54" s="114"/>
      <c r="C54" s="114"/>
      <c r="D54" s="114"/>
      <c r="E54" s="114"/>
      <c r="F54" s="114"/>
      <c r="G54" s="114"/>
      <c r="H54" s="69"/>
      <c r="I54" s="12"/>
      <c r="J54" s="12"/>
      <c r="K54" s="12"/>
    </row>
    <row r="55" spans="2:11" ht="15.75" customHeight="1">
      <c r="B55" s="114"/>
      <c r="C55" s="114"/>
      <c r="D55" s="114"/>
      <c r="E55" s="114"/>
      <c r="F55" s="114"/>
      <c r="G55" s="114"/>
      <c r="H55" s="69"/>
      <c r="I55" s="115" t="s">
        <v>37</v>
      </c>
      <c r="J55" s="116"/>
      <c r="K55" s="108">
        <f>(K51+I51)*K53*1.23</f>
        <v>13.357799999999999</v>
      </c>
    </row>
    <row r="56" spans="2:11">
      <c r="B56" s="114"/>
      <c r="C56" s="114"/>
      <c r="D56" s="114"/>
      <c r="E56" s="114"/>
      <c r="F56" s="114"/>
      <c r="G56" s="114"/>
      <c r="H56" s="69"/>
      <c r="I56" s="117"/>
      <c r="J56" s="118"/>
      <c r="K56" s="109"/>
    </row>
    <row r="57" spans="2:11">
      <c r="B57" s="70"/>
      <c r="C57" s="70"/>
      <c r="D57" s="70"/>
      <c r="E57" s="70"/>
      <c r="F57" s="70"/>
      <c r="G57" s="70"/>
      <c r="H57" s="70"/>
      <c r="I57" s="70"/>
      <c r="J57" s="70"/>
      <c r="K57" s="70"/>
    </row>
    <row r="58" spans="2:11" ht="15.75" customHeight="1">
      <c r="B58" s="71"/>
      <c r="C58" s="71"/>
      <c r="D58" s="71"/>
      <c r="E58" s="71"/>
      <c r="F58" s="71"/>
      <c r="G58" s="71"/>
      <c r="H58" s="70"/>
      <c r="I58" s="70"/>
      <c r="J58" s="70"/>
      <c r="K58" s="70"/>
    </row>
  </sheetData>
  <protectedRanges>
    <protectedRange sqref="B54" name="Observações"/>
    <protectedRange sqref="F1" name="Borderau nº"/>
    <protectedRange sqref="F3:K3" name="Espetáculo"/>
    <protectedRange sqref="F5:G5 F17:G17" name="Data"/>
    <protectedRange sqref="F7:G7" name="Hora"/>
    <protectedRange sqref="F9:H9" name="Class. Etária"/>
    <protectedRange sqref="F11:G11" name="Evento"/>
    <protectedRange sqref="F13:I13" name="Atividade"/>
    <protectedRange sqref="F15:I15" name="Local"/>
    <protectedRange sqref="F24:F49" name="Bilheteira"/>
    <protectedRange sqref="H24:H45" name="Posto TL"/>
    <protectedRange sqref="J24:J45" name="Internet"/>
  </protectedRanges>
  <dataConsolidate/>
  <mergeCells count="20">
    <mergeCell ref="B53:G53"/>
    <mergeCell ref="I53:J53"/>
    <mergeCell ref="K55:K56"/>
    <mergeCell ref="D21:E22"/>
    <mergeCell ref="B54:G56"/>
    <mergeCell ref="I55:J56"/>
    <mergeCell ref="C11:E11"/>
    <mergeCell ref="C13:E13"/>
    <mergeCell ref="C15:E15"/>
    <mergeCell ref="F21:K21"/>
    <mergeCell ref="F22:G22"/>
    <mergeCell ref="H22:I22"/>
    <mergeCell ref="J22:K22"/>
    <mergeCell ref="C17:E17"/>
    <mergeCell ref="I9:J9"/>
    <mergeCell ref="C1:E1"/>
    <mergeCell ref="C3:E3"/>
    <mergeCell ref="C5:E5"/>
    <mergeCell ref="C7:E7"/>
    <mergeCell ref="C9:E9"/>
  </mergeCells>
  <phoneticPr fontId="10" type="noConversion"/>
  <dataValidations count="2">
    <dataValidation allowBlank="1" showInputMessage="1" showErrorMessage="1" sqref="G11 G13" xr:uid="{00000000-0002-0000-0000-000000000000}"/>
    <dataValidation type="date" operator="greaterThan" allowBlank="1" showInputMessage="1" showErrorMessage="1" sqref="F5 F17" xr:uid="{C35F4FBC-74E8-49C2-8AFA-89F2BB9646DB}">
      <formula1>1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Categorias!$C$2:$C$3</xm:f>
          </x14:formula1>
          <xm:sqref>F11</xm:sqref>
        </x14:dataValidation>
        <x14:dataValidation type="list" allowBlank="1" showInputMessage="1" showErrorMessage="1" xr:uid="{00000000-0002-0000-0000-000002000000}">
          <x14:formula1>
            <xm:f>Categorias!$E$2:$E$9</xm:f>
          </x14:formula1>
          <xm:sqref>F13</xm:sqref>
        </x14:dataValidation>
        <x14:dataValidation type="list" allowBlank="1" showInputMessage="1" showErrorMessage="1" xr:uid="{00000000-0002-0000-0000-000003000000}">
          <x14:formula1>
            <xm:f>Categorias!$G$2:$G$6</xm:f>
          </x14:formula1>
          <xm:sqref>F15</xm:sqref>
        </x14:dataValidation>
        <x14:dataValidation type="list" allowBlank="1" showInputMessage="1" showErrorMessage="1" xr:uid="{00000000-0002-0000-0000-000004000000}">
          <x14:formula1>
            <xm:f>Categorias!$A$2:$A$8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SheetLayoutView="100" workbookViewId="0">
      <selection activeCell="B13" sqref="B13"/>
    </sheetView>
  </sheetViews>
  <sheetFormatPr defaultColWidth="9" defaultRowHeight="14.25"/>
  <cols>
    <col min="1" max="1" width="19.625" customWidth="1"/>
    <col min="3" max="3" width="12.125" customWidth="1"/>
    <col min="5" max="5" width="22.75" customWidth="1"/>
    <col min="7" max="7" width="21.125" customWidth="1"/>
  </cols>
  <sheetData>
    <row r="1" spans="1:7" ht="15.75">
      <c r="A1" s="1" t="s">
        <v>38</v>
      </c>
      <c r="C1" s="1" t="s">
        <v>5</v>
      </c>
      <c r="E1" s="1" t="s">
        <v>39</v>
      </c>
      <c r="G1" s="1" t="s">
        <v>7</v>
      </c>
    </row>
    <row r="2" spans="1:7" ht="15.75">
      <c r="A2" s="2" t="s">
        <v>40</v>
      </c>
      <c r="C2" s="2" t="s">
        <v>41</v>
      </c>
      <c r="E2" s="2" t="s">
        <v>42</v>
      </c>
      <c r="G2" s="2" t="s">
        <v>43</v>
      </c>
    </row>
    <row r="3" spans="1:7" ht="15.75">
      <c r="A3" s="2" t="s">
        <v>44</v>
      </c>
      <c r="C3" s="3" t="s">
        <v>45</v>
      </c>
      <c r="E3" s="2" t="s">
        <v>46</v>
      </c>
      <c r="G3" s="2" t="s">
        <v>47</v>
      </c>
    </row>
    <row r="4" spans="1:7" ht="15.75">
      <c r="A4" s="2" t="s">
        <v>48</v>
      </c>
      <c r="E4" s="2" t="s">
        <v>49</v>
      </c>
      <c r="G4" s="2" t="s">
        <v>50</v>
      </c>
    </row>
    <row r="5" spans="1:7" ht="15.75">
      <c r="A5" s="2" t="s">
        <v>51</v>
      </c>
      <c r="E5" s="2" t="s">
        <v>52</v>
      </c>
      <c r="G5" s="2" t="s">
        <v>53</v>
      </c>
    </row>
    <row r="6" spans="1:7" ht="16.5" thickBot="1">
      <c r="A6" s="2" t="s">
        <v>60</v>
      </c>
      <c r="E6" s="2" t="s">
        <v>55</v>
      </c>
      <c r="G6" s="3" t="s">
        <v>56</v>
      </c>
    </row>
    <row r="7" spans="1:7" ht="15.75">
      <c r="A7" s="2" t="s">
        <v>54</v>
      </c>
      <c r="E7" s="2" t="s">
        <v>58</v>
      </c>
    </row>
    <row r="8" spans="1:7" ht="16.5" thickBot="1">
      <c r="A8" s="3" t="s">
        <v>57</v>
      </c>
      <c r="E8" s="2" t="s">
        <v>59</v>
      </c>
    </row>
    <row r="9" spans="1:7" ht="16.5" thickBot="1">
      <c r="E9" s="93" t="s">
        <v>68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Observações" rangeCreator="" othersAccessPermission="edit"/>
    <arrUserId title="Borderau nº" rangeCreator="" othersAccessPermission="edit"/>
    <arrUserId title="Espetáculo" rangeCreator="" othersAccessPermission="edit"/>
    <arrUserId title="Data" rangeCreator="" othersAccessPermission="edit"/>
    <arrUserId title="Hora" rangeCreator="" othersAccessPermission="edit"/>
    <arrUserId title="Class. Etária" rangeCreator="" othersAccessPermission="edit"/>
    <arrUserId title="Evento" rangeCreator="" othersAccessPermission="edit"/>
    <arrUserId title="Atividade" rangeCreator="" othersAccessPermission="edit"/>
    <arrUserId title="Local" rangeCreator="" othersAccessPermission="edit"/>
    <arrUserId title="Bilheteira" rangeCreator="" othersAccessPermission="edit"/>
    <arrUserId title="Posto TL" rangeCreator="" othersAccessPermission="edit"/>
    <arrUserId title="Internet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DANTAS GAMA</dc:creator>
  <cp:lastModifiedBy>ANGÉLICA DANTAS GAMA</cp:lastModifiedBy>
  <dcterms:created xsi:type="dcterms:W3CDTF">2024-05-02T17:50:00Z</dcterms:created>
  <dcterms:modified xsi:type="dcterms:W3CDTF">2024-12-12T12:05:09Z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7B0661451FFC460AA7379298517673C0_13</vt:lpwstr>
  </property>
  <property fmtid="{D5CDD505-2E9C-101B-9397-08002B2CF9AE}" pid="3" name="KSOProductBuildVer">
    <vt:lpwstr>2070-12.2.0.16909</vt:lpwstr>
  </property>
</Properties>
</file>